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5.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7.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7.xml" ContentType="application/vnd.openxmlformats-officedocument.spreadsheetml.pivotTable+xml"/>
  <Override PartName="/xl/drawings/drawing19.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0.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21.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22.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12.xml" ContentType="application/vnd.openxmlformats-officedocument.spreadsheetml.pivotTable+xml"/>
  <Override PartName="/xl/drawings/drawing23.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3.xml" ContentType="application/vnd.openxmlformats-officedocument.spreadsheetml.pivotTable+xml"/>
  <Override PartName="/xl/drawings/drawing24.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4.xml" ContentType="application/vnd.openxmlformats-officedocument.spreadsheetml.pivotTable+xml"/>
  <Override PartName="/xl/drawings/drawing25.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5.xml" ContentType="application/vnd.openxmlformats-officedocument.spreadsheetml.pivotTable+xml"/>
  <Override PartName="/xl/drawings/drawing26.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6.xml" ContentType="application/vnd.openxmlformats-officedocument.spreadsheetml.pivotTable+xml"/>
  <Override PartName="/xl/drawings/drawing27.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7.xml" ContentType="application/vnd.openxmlformats-officedocument.spreadsheetml.pivotTable+xml"/>
  <Override PartName="/xl/drawings/drawing28.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e794b1bb2f8fb5dc/Desktop/"/>
    </mc:Choice>
  </mc:AlternateContent>
  <xr:revisionPtr revIDLastSave="36" documentId="8_{1C7C9EC1-8890-44FC-B4B2-B501174C1F78}" xr6:coauthVersionLast="47" xr6:coauthVersionMax="47" xr10:uidLastSave="{46D71F96-6DD2-4EBA-9E49-D4B3507C8719}"/>
  <bookViews>
    <workbookView xWindow="-108" yWindow="-108" windowWidth="23256" windowHeight="12456" tabRatio="500" xr2:uid="{00000000-000D-0000-FFFF-FFFF00000000}"/>
  </bookViews>
  <sheets>
    <sheet name="SOCIAL DASHBOARD" sheetId="65" r:id="rId1"/>
    <sheet name="Cover" sheetId="1" r:id="rId2"/>
    <sheet name="Waste_Management" sheetId="2" r:id="rId3"/>
    <sheet name="Waste_Management_Tables" sheetId="3" r:id="rId4"/>
    <sheet name="Reclaimed_Packaging" sheetId="4" r:id="rId5"/>
    <sheet name="Reclaimed_Packaging_Tables" sheetId="5" r:id="rId6"/>
    <sheet name="Principle_3_Marker" sheetId="6" r:id="rId7"/>
    <sheet name="Employee_Benefits" sheetId="7" r:id="rId8"/>
    <sheet name="Employee_Benefits_Tables" sheetId="8" r:id="rId9"/>
    <sheet name="Worker_Benefits" sheetId="9" r:id="rId10"/>
    <sheet name="Worker_Benefits_Tables" sheetId="10" r:id="rId11"/>
    <sheet name="Wellbeing_Cost" sheetId="11" r:id="rId12"/>
    <sheet name="Wellbeing_Cost_Tables" sheetId="12" r:id="rId13"/>
    <sheet name="Statutory_Benefits" sheetId="13" r:id="rId14"/>
    <sheet name="Statutory_Benefits_Tables" sheetId="14" r:id="rId15"/>
    <sheet name="Parental_Leave" sheetId="15" r:id="rId16"/>
    <sheet name="Parental_Leave_Tables" sheetId="16" r:id="rId17"/>
    <sheet name="Grievance_Mechanism" sheetId="17" r:id="rId18"/>
    <sheet name="Trade_Union_Membership" sheetId="18" r:id="rId19"/>
    <sheet name="Trade_Union_Membership_Tables" sheetId="19" r:id="rId20"/>
    <sheet name="Training_Coverage" sheetId="20" r:id="rId21"/>
    <sheet name="Training_Coverage_Tables" sheetId="21" r:id="rId22"/>
    <sheet name="Performance_Reviews" sheetId="22" r:id="rId23"/>
    <sheet name="Performance_Reviews_Tables" sheetId="23" r:id="rId24"/>
    <sheet name="Safety_Incidents" sheetId="24" r:id="rId25"/>
    <sheet name="Safety_Incidents_Tables" sheetId="25" r:id="rId26"/>
    <sheet name="Safety_Complaints" sheetId="26" r:id="rId27"/>
    <sheet name="Safety_Complaints_Tables" sheetId="27" r:id="rId28"/>
    <sheet name="Safety_Assessment" sheetId="28" r:id="rId29"/>
    <sheet name="Safety_Assessment_Tables" sheetId="29" r:id="rId30"/>
    <sheet name="Rehabilitation" sheetId="30" r:id="rId31"/>
    <sheet name="Rehabilitation_Tables" sheetId="31" r:id="rId32"/>
    <sheet name="ValueChain_Safety" sheetId="32" r:id="rId33"/>
    <sheet name="ValueChain_Safety_Tables" sheetId="33" r:id="rId34"/>
    <sheet name="Principle_4_Marker" sheetId="34" r:id="rId35"/>
    <sheet name="Stakeholder_Engagement" sheetId="35" r:id="rId36"/>
    <sheet name="Principle_5_Marker" sheetId="36" r:id="rId37"/>
    <sheet name="HR_Training_Coverage" sheetId="37" r:id="rId38"/>
    <sheet name="HR_Training_Coverage_Tables" sheetId="38" r:id="rId39"/>
    <sheet name="Minimum_Wage" sheetId="39" r:id="rId40"/>
    <sheet name="Minimum_Wage_Tables" sheetId="40" r:id="rId41"/>
    <sheet name="Median_Remuneration" sheetId="41" r:id="rId42"/>
    <sheet name="Median_Remuneration_Tables" sheetId="42" r:id="rId43"/>
    <sheet name="Gender_Pay_Gap" sheetId="43" r:id="rId44"/>
    <sheet name="Gender_Pay_Gap_Tables" sheetId="44" r:id="rId45"/>
    <sheet name="HR_Complaints" sheetId="45" r:id="rId46"/>
    <sheet name="HR_Complaints_Tables" sheetId="46" r:id="rId47"/>
    <sheet name="POSH_Complaints" sheetId="47" r:id="rId48"/>
    <sheet name="POSH_Complaints_Tables" sheetId="48" r:id="rId49"/>
    <sheet name="HR_Assessment_Internal" sheetId="49" r:id="rId50"/>
    <sheet name="HR_Assessment_Internal_Tables" sheetId="50" r:id="rId51"/>
    <sheet name="HR_Assessment_ValueChain" sheetId="51" r:id="rId52"/>
    <sheet name="HR_Assessment_ValueChain_Tables" sheetId="52" r:id="rId53"/>
    <sheet name="Principle_6_Marker" sheetId="53" r:id="rId54"/>
    <sheet name="Energy_Consumption" sheetId="54" r:id="rId55"/>
    <sheet name="Energy_Consumption_Tables" sheetId="55" r:id="rId56"/>
    <sheet name="Resettlement_RR" sheetId="56" r:id="rId57"/>
    <sheet name="Sourcing_by_Location" sheetId="57" r:id="rId58"/>
    <sheet name="Sourcing_by_Location_Tables" sheetId="58" r:id="rId59"/>
    <sheet name="Sourcing_MSME_India" sheetId="59" r:id="rId60"/>
    <sheet name="Sourcing_MSME_India_Tables" sheetId="60" r:id="rId61"/>
    <sheet name="CSR_Aspirational_Dist" sheetId="61" r:id="rId62"/>
    <sheet name="CSR_Aspirational_Dist_Tables" sheetId="62" r:id="rId63"/>
    <sheet name="CSR_Beneficiaries" sheetId="63" r:id="rId64"/>
    <sheet name="CSR_Beneficiaries_Tables" sheetId="64" r:id="rId65"/>
  </sheets>
  <calcPr calcId="191029"/>
  <pivotCaches>
    <pivotCache cacheId="0" r:id="rId66"/>
    <pivotCache cacheId="1" r:id="rId67"/>
    <pivotCache cacheId="2" r:id="rId68"/>
    <pivotCache cacheId="3" r:id="rId69"/>
    <pivotCache cacheId="4" r:id="rId70"/>
    <pivotCache cacheId="5" r:id="rId71"/>
    <pivotCache cacheId="6" r:id="rId72"/>
    <pivotCache cacheId="7" r:id="rId73"/>
    <pivotCache cacheId="8" r:id="rId74"/>
    <pivotCache cacheId="9" r:id="rId75"/>
    <pivotCache cacheId="10" r:id="rId76"/>
    <pivotCache cacheId="11" r:id="rId77"/>
    <pivotCache cacheId="12" r:id="rId78"/>
    <pivotCache cacheId="13" r:id="rId79"/>
  </pivotCaches>
  <extLst>
    <ext xmlns:loext="http://schemas.libreoffice.org/" uri="{7626C862-2A13-11E5-B345-FEFF819CDC9F}">
      <loext:extCalcPr stringRefSyntax="ExcelA1"/>
    </ext>
  </extLst>
</workbook>
</file>

<file path=xl/calcChain.xml><?xml version="1.0" encoding="utf-8"?>
<calcChain xmlns="http://schemas.openxmlformats.org/spreadsheetml/2006/main">
  <c r="D22" i="42" l="1"/>
  <c r="D23" i="42"/>
  <c r="D20" i="42"/>
  <c r="D7" i="42"/>
  <c r="D8" i="42"/>
  <c r="D9" i="42"/>
  <c r="D6" i="42"/>
</calcChain>
</file>

<file path=xl/sharedStrings.xml><?xml version="1.0" encoding="utf-8"?>
<sst xmlns="http://schemas.openxmlformats.org/spreadsheetml/2006/main" count="2093" uniqueCount="789">
  <si>
    <t>ITC Limited — BRSR Social Performance Dataset (Refined)</t>
  </si>
  <si>
    <t>Source:</t>
  </si>
  <si>
    <t>ITC Limited, Report and Accounts 2026 (Business Responsibility &amp; Sustainability Report — Social Metrics)</t>
  </si>
  <si>
    <t>Coverage:</t>
  </si>
  <si>
    <t>FY 2025-26 (Current Financial Year) vs FY 2024-25 (Previous Financial Year), as disclosed</t>
  </si>
  <si>
    <t>Scope:</t>
  </si>
  <si>
    <t>BRSR Principles 3–6 &amp; 8 — Employee Well-being, Stakeholder Engagement, Human Rights, Environment, CSR</t>
  </si>
  <si>
    <t>Note:</t>
  </si>
  <si>
    <t>All figures reproduced exactly as extracted from the source report. No values have been altered, estimated, or recalculated.</t>
  </si>
  <si>
    <t>Sheet Index</t>
  </si>
  <si>
    <t>No.</t>
  </si>
  <si>
    <t>Sheet Name</t>
  </si>
  <si>
    <t>Contents</t>
  </si>
  <si>
    <t>Waste_Management</t>
  </si>
  <si>
    <t>Waste Management by Category — Re-used / Recycled / Safely Disposed</t>
  </si>
  <si>
    <t>Reclaimed_Packaging</t>
  </si>
  <si>
    <t>Reclaimed Products &amp; Packaging as % of Total Products Sold</t>
  </si>
  <si>
    <t>Principle_3_Marker</t>
  </si>
  <si>
    <t>BRSR Principle 3 — Employee Well-being (Section Marker)</t>
  </si>
  <si>
    <t>Employee_Benefits</t>
  </si>
  <si>
    <t>Employees Covered by Insurance &amp; Welfare Benefits</t>
  </si>
  <si>
    <t>Worker_Benefits</t>
  </si>
  <si>
    <t>Workers Covered by Insurance &amp; Welfare Benefits</t>
  </si>
  <si>
    <t>Wellbeing_Cost</t>
  </si>
  <si>
    <t>Cost Incurred on Well-being Measures (% of Total Revenue)</t>
  </si>
  <si>
    <t>Statutory_Benefits</t>
  </si>
  <si>
    <t>Statutory Benefits Coverage — PF, Gratuity, ESI</t>
  </si>
  <si>
    <t>Parental_Leave</t>
  </si>
  <si>
    <t>Parental Leave — Return to Work &amp; Retention Rate</t>
  </si>
  <si>
    <t>Grievance_Mechanism</t>
  </si>
  <si>
    <t>Grievance Redressal Mechanism — Availability &amp; Description</t>
  </si>
  <si>
    <t>Trade_Union_Membership</t>
  </si>
  <si>
    <t>Trade Union / Association Membership — Employees &amp; Workers</t>
  </si>
  <si>
    <t>Training_Coverage</t>
  </si>
  <si>
    <t>Training Coverage — Health &amp; Safety and Skill Upgradation</t>
  </si>
  <si>
    <t>Performance_Reviews</t>
  </si>
  <si>
    <t>Performance &amp; Career Development Review Coverage</t>
  </si>
  <si>
    <t>Safety_Incidents</t>
  </si>
  <si>
    <t>Safety Incident Metrics — LTIFR, Injuries, Fatalities</t>
  </si>
  <si>
    <t>Safety_Complaints</t>
  </si>
  <si>
    <t>Complaints on Working Conditions &amp; Health and Safety</t>
  </si>
  <si>
    <t>Safety_Assessment</t>
  </si>
  <si>
    <t>Health &amp; Safety / Working Conditions — Assessment Coverage</t>
  </si>
  <si>
    <t>Rehabilitation</t>
  </si>
  <si>
    <t>Rehabilitation of Affected Employees / Workers</t>
  </si>
  <si>
    <t>ValueChain_Safety</t>
  </si>
  <si>
    <t>Value Chain Partners — Health &amp; Safety Assessment Coverage</t>
  </si>
  <si>
    <t>Principle_4_Marker</t>
  </si>
  <si>
    <t>BRSR Principle 4 — Stakeholder Engagement (Section Marker)</t>
  </si>
  <si>
    <t>Stakeholder_Engagement</t>
  </si>
  <si>
    <t>Stakeholder Engagement — Groups, Channels &amp; Frequency</t>
  </si>
  <si>
    <t>Principle_5_Marker</t>
  </si>
  <si>
    <t>BRSR Principle 5 — Human Rights (Section Marker)</t>
  </si>
  <si>
    <t>HR_Training_Coverage</t>
  </si>
  <si>
    <t>Human Rights Training Coverage — Employees &amp; Workers</t>
  </si>
  <si>
    <t>Minimum_Wage</t>
  </si>
  <si>
    <t>Minimum Wage Compliance — Employees &amp; Workers</t>
  </si>
  <si>
    <t>Median_Remuneration</t>
  </si>
  <si>
    <t>Median Remuneration by Gender — BoD, KMP, Employees, Workers</t>
  </si>
  <si>
    <t>Gender_Pay_Gap</t>
  </si>
  <si>
    <t>Gender Pay Gap — Gross Wages Paid to Females (% of Total)</t>
  </si>
  <si>
    <t>HR_Complaints</t>
  </si>
  <si>
    <t>Human Rights Complaints — Filed &amp; Pending Resolution</t>
  </si>
  <si>
    <t>POSH_Complaints</t>
  </si>
  <si>
    <t>POSH Complaints Summary (Sexual Harassment at Workplace Act)</t>
  </si>
  <si>
    <t>HR_Assessment_Internal</t>
  </si>
  <si>
    <t>Human Rights Assessment Coverage — Plants &amp; Offices</t>
  </si>
  <si>
    <t>HR_Assessment_ValueChain</t>
  </si>
  <si>
    <t>Human Rights Assessment Coverage — Value Chain Partners</t>
  </si>
  <si>
    <t>Principle_6_Marker</t>
  </si>
  <si>
    <t>BRSR Principle 6 — Environment (Section Marker)</t>
  </si>
  <si>
    <t>Energy_Consumption</t>
  </si>
  <si>
    <t>Energy Consumption — Renewable vs Non-Renewable Sources</t>
  </si>
  <si>
    <t>Resettlement_RR</t>
  </si>
  <si>
    <t>Resettlement &amp; Rehabilitation — Project Affected Families</t>
  </si>
  <si>
    <t>Sourcing_by_Location</t>
  </si>
  <si>
    <t>Sourcing / Presence by Location Type</t>
  </si>
  <si>
    <t>Sourcing_MSME_India</t>
  </si>
  <si>
    <t>Sourcing from MSMEs / Small Producers &amp; Within India</t>
  </si>
  <si>
    <t>CSR_Aspirational_Dist</t>
  </si>
  <si>
    <t>CSR Spend in Aspirational Districts (Rs. Lakhs)</t>
  </si>
  <si>
    <t>CSR_Beneficiaries</t>
  </si>
  <si>
    <t>CSR Project Beneficiaries &amp; Vulnerable Group Coverage (FY 2025-26)</t>
  </si>
  <si>
    <t>Table 1 — Waste Management by Category — Re-used / Recycled / Safely Disposed</t>
  </si>
  <si>
    <t>BRSR Principle 2 | Source: ITC Report and Accounts 2026, Page 368 | FY 2025-26 vs FY 2024-25 (as applicable)</t>
  </si>
  <si>
    <t>FY 2025-26* (Current Financial Year)</t>
  </si>
  <si>
    <t>FY 2024-25* (Previous Financial Year)</t>
  </si>
  <si>
    <t>Re-used</t>
  </si>
  <si>
    <t>Recycled</t>
  </si>
  <si>
    <t>Safely Disposed</t>
  </si>
  <si>
    <t>Plastics (including packaging)</t>
  </si>
  <si>
    <t>-</t>
  </si>
  <si>
    <t>~31,200 tonnes</t>
  </si>
  <si>
    <t>~41,300 tonnes</t>
  </si>
  <si>
    <t>~26,600 tonnes</t>
  </si>
  <si>
    <t>~37,900 tonnes</t>
  </si>
  <si>
    <t>E-waste</t>
  </si>
  <si>
    <t>NA</t>
  </si>
  <si>
    <t>Hazardous waste</t>
  </si>
  <si>
    <t>Other waste</t>
  </si>
  <si>
    <t>Table 1 — Waste Management by Category — Re-used / Recycled / Safely Disposed (Chart-Ready Tables)</t>
  </si>
  <si>
    <t>BRSR Principle 2 | Source: ITC Report and Accounts 2026, Page 368 | Each block below is a self-contained table — select it and Insert &gt; Chart directly.</t>
  </si>
  <si>
    <t>Recycled  (Unit: Number)</t>
  </si>
  <si>
    <t>Category</t>
  </si>
  <si>
    <t>FY 2025-26</t>
  </si>
  <si>
    <t>FY 2024-25</t>
  </si>
  <si>
    <t>Safely Disposed  (Unit: Number)</t>
  </si>
  <si>
    <t>Table 2 — Reclaimed Products &amp; Packaging as % of Total Products Sold</t>
  </si>
  <si>
    <t>Indicate Product Category</t>
  </si>
  <si>
    <t>Reclaimed Products And Their Packaging Materials As % Of Total Products Sold In Respective Category</t>
  </si>
  <si>
    <t>Plastic Packaging</t>
  </si>
  <si>
    <t>100%</t>
  </si>
  <si>
    <t>Table 2 — Reclaimed Products &amp; Packaging as % of Total Products Sold (Chart-Ready Tables)</t>
  </si>
  <si>
    <t>Reclaimed Products And Their Packaging Materials As % Of Total Products Sold In Respective Category  (Unit: %)</t>
  </si>
  <si>
    <t>Value</t>
  </si>
  <si>
    <t>Table 4 — Employees Covered by Insurance &amp; Welfare Benefits</t>
  </si>
  <si>
    <t>BRSR Principle 3 | Source: ITC Report and Accounts 2026, Page 368 | FY 2025-26 vs FY 2024-25 (as applicable)</t>
  </si>
  <si>
    <t>% Of Employees Covered By</t>
  </si>
  <si>
    <t>Total (A)</t>
  </si>
  <si>
    <t>Health Insurance</t>
  </si>
  <si>
    <t>Accident Insurance</t>
  </si>
  <si>
    <t>Maternity Benefits</t>
  </si>
  <si>
    <t>Paternity Benefits*</t>
  </si>
  <si>
    <t>Day Care Facilities</t>
  </si>
  <si>
    <t>Number (B)</t>
  </si>
  <si>
    <t>% (B/A)</t>
  </si>
  <si>
    <t>Number (C)</t>
  </si>
  <si>
    <t>% (C/A)</t>
  </si>
  <si>
    <t>Number (D)</t>
  </si>
  <si>
    <t>% (D/A)</t>
  </si>
  <si>
    <t>Number (E)</t>
  </si>
  <si>
    <t>% (E/A)</t>
  </si>
  <si>
    <t>Number (F)</t>
  </si>
  <si>
    <t>% (F/A)</t>
  </si>
  <si>
    <t>Permanent Employees</t>
  </si>
  <si>
    <t>Male</t>
  </si>
  <si>
    <t>9,362</t>
  </si>
  <si>
    <t>Female</t>
  </si>
  <si>
    <t>2,080</t>
  </si>
  <si>
    <t>Total</t>
  </si>
  <si>
    <t>11,442</t>
  </si>
  <si>
    <t>Other Than Permanent Employees</t>
  </si>
  <si>
    <t>440</t>
  </si>
  <si>
    <t>296</t>
  </si>
  <si>
    <t>67%</t>
  </si>
  <si>
    <t>292</t>
  </si>
  <si>
    <t>66%</t>
  </si>
  <si>
    <t>196</t>
  </si>
  <si>
    <t>113</t>
  </si>
  <si>
    <t>58%</t>
  </si>
  <si>
    <t>99</t>
  </si>
  <si>
    <t>51%</t>
  </si>
  <si>
    <t>636</t>
  </si>
  <si>
    <t>409</t>
  </si>
  <si>
    <t>64%</t>
  </si>
  <si>
    <t>391</t>
  </si>
  <si>
    <t>61%</t>
  </si>
  <si>
    <t>Table 4 — Employees Covered by Insurance &amp; Welfare Benefits (Chart-Ready Tables)</t>
  </si>
  <si>
    <t>BRSR Principle 3 | Source: ITC Report and Accounts 2026, Page 368 | Each block below is a self-contained table — select it and Insert &gt; Chart directly.</t>
  </si>
  <si>
    <t>% Of Employees Covered By - Total  (Unit: Number)</t>
  </si>
  <si>
    <t>Permanent Employees – Male</t>
  </si>
  <si>
    <t>Permanent Employees – Female</t>
  </si>
  <si>
    <t>Permanent Employees – Total</t>
  </si>
  <si>
    <t>Other Than Permanent Employees – Male</t>
  </si>
  <si>
    <t>Other Than Permanent Employees – Female</t>
  </si>
  <si>
    <t>Other Than Permanent Employees – Total</t>
  </si>
  <si>
    <t>% Of Employees Covered By - Health Insurance - Number  (Unit: Number)</t>
  </si>
  <si>
    <t>% Of Employees Covered By - Health Insurance - %  (Unit: %)</t>
  </si>
  <si>
    <t>% Of Employees Covered By - Accident Insurance - Number  (Unit: Number)</t>
  </si>
  <si>
    <t>% Of Employees Covered By - Accident Insurance - %  (Unit: %)</t>
  </si>
  <si>
    <t>% Of Employees Covered By - Maternity Benefits - Number  (Unit: Number)</t>
  </si>
  <si>
    <t>% Of Employees Covered By - Maternity Benefits - %  (Unit: %)</t>
  </si>
  <si>
    <t>% Of Employees Covered By - Paternity Benefits* - Number  (Unit: Number)</t>
  </si>
  <si>
    <t>% Of Employees Covered By - Paternity Benefits* - %  (Unit: %)</t>
  </si>
  <si>
    <t>% Of Employees Covered By - Day Care Facilities - Number  (Unit: Number)</t>
  </si>
  <si>
    <t>% Of Employees Covered By - Day Care Facilities - %  (Unit: %)</t>
  </si>
  <si>
    <t>Table 5 — Workers Covered by Insurance &amp; Welfare Benefits</t>
  </si>
  <si>
    <t>BRSR Principle 3 | Source: ITC Report and Accounts 2026, Page 369 | FY 2025-26 vs FY 2024-25 (as applicable)</t>
  </si>
  <si>
    <t>% Of Workers Covered By</t>
  </si>
  <si>
    <t>Paternity Benefits</t>
  </si>
  <si>
    <t>Permanent Workers</t>
  </si>
  <si>
    <t>10,368</t>
  </si>
  <si>
    <t>683</t>
  </si>
  <si>
    <t>11,051</t>
  </si>
  <si>
    <t>Other than Permanent Workers</t>
  </si>
  <si>
    <t>21,203</t>
  </si>
  <si>
    <t>4,305</t>
  </si>
  <si>
    <t>25,508</t>
  </si>
  <si>
    <t>Table 5 — Workers Covered by Insurance &amp; Welfare Benefits (Chart-Ready Tables)</t>
  </si>
  <si>
    <t>BRSR Principle 3 | Source: ITC Report and Accounts 2026, Page 369 | Each block below is a self-contained table — select it and Insert &gt; Chart directly.</t>
  </si>
  <si>
    <t>% Of Workers Covered By - Total  (Unit: Number)</t>
  </si>
  <si>
    <t>Permanent Workers – Male</t>
  </si>
  <si>
    <t>Permanent Workers – Female</t>
  </si>
  <si>
    <t>Permanent Workers – Total</t>
  </si>
  <si>
    <t>Other than Permanent Workers – Male</t>
  </si>
  <si>
    <t>Other than Permanent Workers – Female</t>
  </si>
  <si>
    <t>Other than Permanent Workers – Total</t>
  </si>
  <si>
    <t>% Of Workers Covered By - Health Insurance - Number  (Unit: Number)</t>
  </si>
  <si>
    <t>% Of Workers Covered By - Health Insurance - %  (Unit: %)</t>
  </si>
  <si>
    <t>% Of Workers Covered By - Accident Insurance - Number  (Unit: Number)</t>
  </si>
  <si>
    <t>% Of Workers Covered By - Accident Insurance - %  (Unit: %)</t>
  </si>
  <si>
    <t>% Of Workers Covered By - Maternity Benefits - Number  (Unit: Number)</t>
  </si>
  <si>
    <t>% Of Workers Covered By - Maternity Benefits - %  (Unit: %)</t>
  </si>
  <si>
    <t>% Of Workers Covered By - Day Care Facilities - Number  (Unit: Number)</t>
  </si>
  <si>
    <t>% Of Workers Covered By - Day Care Facilities - %  (Unit: %)</t>
  </si>
  <si>
    <t>Table 6 — Cost Incurred on Well-being Measures (% of Total Revenue)</t>
  </si>
  <si>
    <t>FY 2025-26 (Current Financial Year)</t>
  </si>
  <si>
    <t>FY 2024-25 (Previous Financial Year)</t>
  </si>
  <si>
    <t>Cost incurred* on well-being measures as a % of total revenue of the company</t>
  </si>
  <si>
    <t>0.2%</t>
  </si>
  <si>
    <t>Table 6 — Cost Incurred on Well-being Measures (% of Total Revenue) (Chart-Ready Tables)</t>
  </si>
  <si>
    <t>Value  (Unit: %)</t>
  </si>
  <si>
    <t>Table 7 — Statutory Benefits Coverage — PF, Gratuity, ESI</t>
  </si>
  <si>
    <t>Benefits</t>
  </si>
  <si>
    <t>No. Of Employees Covered As A % Of Total Employees</t>
  </si>
  <si>
    <t>No. Of Workers Covered As A % Of Total Workers</t>
  </si>
  <si>
    <t>Deducted And Deposited With The Authority (Y/N/N.A.)</t>
  </si>
  <si>
    <t>PF</t>
  </si>
  <si>
    <t>Y</t>
  </si>
  <si>
    <t>Gratuity</t>
  </si>
  <si>
    <t>ESI</t>
  </si>
  <si>
    <t>2%</t>
  </si>
  <si>
    <t>17%</t>
  </si>
  <si>
    <t>Others, please specify</t>
  </si>
  <si>
    <t>Table 7 — Statutory Benefits Coverage — PF, Gratuity, ESI (Chart-Ready Tables)</t>
  </si>
  <si>
    <t>No. Of Employees Covered As A % Of Total Employees  (Unit: %)</t>
  </si>
  <si>
    <t>No. Of Workers Covered As A % Of Total Workers  (Unit: %)</t>
  </si>
  <si>
    <t>Table 8 — Parental Leave — Return to Work &amp; Retention Rate</t>
  </si>
  <si>
    <t>BRSR Principle 3 | Source: ITC Report and Accounts 2026, Page 370 | FY 2025-26 vs FY 2024-25 (as applicable)</t>
  </si>
  <si>
    <t>Gender</t>
  </si>
  <si>
    <t>Return To Work Rate</t>
  </si>
  <si>
    <t>Retention Rate</t>
  </si>
  <si>
    <t>86%</t>
  </si>
  <si>
    <t>98%</t>
  </si>
  <si>
    <t>84%</t>
  </si>
  <si>
    <t>97%</t>
  </si>
  <si>
    <t>88%</t>
  </si>
  <si>
    <t>Table 8 — Parental Leave — Return to Work &amp; Retention Rate (Chart-Ready Tables)</t>
  </si>
  <si>
    <t>BRSR Principle 3 | Source: ITC Report and Accounts 2026, Page 370 | Each block below is a self-contained table — select it and Insert &gt; Chart directly.</t>
  </si>
  <si>
    <t>Permanent Employees - Return To Work Rate  (Unit: %)</t>
  </si>
  <si>
    <t>Permanent Employees - Retention Rate  (Unit: %)</t>
  </si>
  <si>
    <t>Permanent Workers - Return To Work Rate  (Unit: %)</t>
  </si>
  <si>
    <t>Permanent Workers - Retention Rate  (Unit: %)</t>
  </si>
  <si>
    <t>Table 9 — Grievance Redressal Mechanism — Availability &amp; Description</t>
  </si>
  <si>
    <t>Yes/No (If Yes, then give details of the mechanism in brief)</t>
  </si>
  <si>
    <t>Yes, ITC’s Grievance Redressal Procedure is available to employees and workers. The objective of the policy is to facilitate open and structured discussion on employees’ work-related grievances with the intent of ensuring that the grievance is dealt with in a fair and just manner whilst being in compliance with the Company’s policies. ITC’s open-door practices encourage amicable and fair resolution of grievances. Employees are encouraged to first discuss the grievance with their immediate reporting authority, and attempt to arrive at a resolution before invoking a formal grievance redressal mechanism. In Unionised Units, grievances of workers are also taken up for discussion by Union Office Bearers and resolved through dialogue with human resources managers and other designated managers. Units also have Committees with joint representation of workers and managers, which address grievances raised by one or more workers. In addition, many Units have forums where workers interact with the Unit leadership team in small groups and share any suggestions or grievances they may have, for resolution.</t>
  </si>
  <si>
    <t>The Whistleblower Policy of the Company encourages all employees to bring to the Company’s attention, instances of illegal or unethical conduct, actual or suspected incidents of fraud, actions that affect the financial integrity of the Company, or actual or suspected instances of leak of unpublished price sensitive information that could adversely impact the Company’s operations, business performance and/or reputation. In terms of the said Policy, the Company investigates such incidents, when reported, in an impartial manner and takes appropriate action to ensure that the requisite standards of professional and ethical conduct are always upheld. This Policy can be accessed on the Company’s corporate website at https://itcportal.com/about-itc/itc-policies/whistleblower-policy.html</t>
  </si>
  <si>
    <t>Same as stated for Permanent Workers.</t>
  </si>
  <si>
    <t>Other than Permanent Employees</t>
  </si>
  <si>
    <t>Same as stated for Other than Permanent Workers.</t>
  </si>
  <si>
    <t>Table 10 — Trade Union / Association Membership — Employees &amp; Workers</t>
  </si>
  <si>
    <t>BRSR Principle 3 | Source: ITC Report and Accounts 2026, Page 371 | FY 2025-26 vs FY 2024-25 (as applicable)</t>
  </si>
  <si>
    <t>Total Employees/ Workers In Respective Category (A)</t>
  </si>
  <si>
    <t>No. Of Employees/ Workers In Respective Category, Who Are Part Of Association(s) Or Union (B)</t>
  </si>
  <si>
    <t>Total Employees/ Workers In Respective Category (C)</t>
  </si>
  <si>
    <t>No. Of Employees/ Workers In Respective Category, Who Are Part Of Association(s) Or Union (D)</t>
  </si>
  <si>
    <t>% (D/C)</t>
  </si>
  <si>
    <t>Total Permanent Employees</t>
  </si>
  <si>
    <t>0</t>
  </si>
  <si>
    <t>0%</t>
  </si>
  <si>
    <t>11,166</t>
  </si>
  <si>
    <t>- Male</t>
  </si>
  <si>
    <t>9,234</t>
  </si>
  <si>
    <t>- Female</t>
  </si>
  <si>
    <t>1,932</t>
  </si>
  <si>
    <t>Total Permanent Workers</t>
  </si>
  <si>
    <t>9,460</t>
  </si>
  <si>
    <t>10,875</t>
  </si>
  <si>
    <t>9,348</t>
  </si>
  <si>
    <t>9,350</t>
  </si>
  <si>
    <t>90%</t>
  </si>
  <si>
    <t>10,197</t>
  </si>
  <si>
    <t>9,250</t>
  </si>
  <si>
    <t>91%</t>
  </si>
  <si>
    <t>110</t>
  </si>
  <si>
    <t>16%*</t>
  </si>
  <si>
    <t>678</t>
  </si>
  <si>
    <t>98</t>
  </si>
  <si>
    <t>14%*</t>
  </si>
  <si>
    <t>Table 10 — Trade Union / Association Membership — Employees &amp; Workers (Chart-Ready Tables)</t>
  </si>
  <si>
    <t>BRSR Principle 3 | Source: ITC Report and Accounts 2026, Page 371 | Each block below is a self-contained table — select it and Insert &gt; Chart directly.</t>
  </si>
  <si>
    <t>Total Employees/ Workers In Respective Category  (Unit: Number)</t>
  </si>
  <si>
    <t>Total Permanent Employees – Male</t>
  </si>
  <si>
    <t>Total Permanent Employees – Female</t>
  </si>
  <si>
    <t>Total Permanent Workers – Male</t>
  </si>
  <si>
    <t>Total Permanent Workers – Female</t>
  </si>
  <si>
    <t>No. Of Employees/ Workers In Respective Category, Who Are Part Of Association(s) Or Union  (Unit: Number)</t>
  </si>
  <si>
    <t>%  (Unit: %)</t>
  </si>
  <si>
    <t>Table 11 — Training Coverage — Health &amp; Safety and Skill Upgradation</t>
  </si>
  <si>
    <t>On Health And Safety Measures</t>
  </si>
  <si>
    <t>On Skill Upgradation</t>
  </si>
  <si>
    <t>Total (D)</t>
  </si>
  <si>
    <t>No. (B)</t>
  </si>
  <si>
    <t>No. (C)</t>
  </si>
  <si>
    <t>No. (E)</t>
  </si>
  <si>
    <t>% (E/D)</t>
  </si>
  <si>
    <t>No. (F)</t>
  </si>
  <si>
    <t>% (F/D)</t>
  </si>
  <si>
    <t>Employees</t>
  </si>
  <si>
    <t>6,541</t>
  </si>
  <si>
    <t>70%</t>
  </si>
  <si>
    <t>5,941</t>
  </si>
  <si>
    <t>63%</t>
  </si>
  <si>
    <t>3,703</t>
  </si>
  <si>
    <t>40%</t>
  </si>
  <si>
    <t>6,870</t>
  </si>
  <si>
    <t>74%</t>
  </si>
  <si>
    <t>1,198</t>
  </si>
  <si>
    <t>1,061</t>
  </si>
  <si>
    <t>630</t>
  </si>
  <si>
    <t>33%</t>
  </si>
  <si>
    <t>1,467</t>
  </si>
  <si>
    <t>76%</t>
  </si>
  <si>
    <t>7,739</t>
  </si>
  <si>
    <t>68%</t>
  </si>
  <si>
    <t>7,002</t>
  </si>
  <si>
    <t>4,333</t>
  </si>
  <si>
    <t>39%</t>
  </si>
  <si>
    <t>8,337</t>
  </si>
  <si>
    <t>75%</t>
  </si>
  <si>
    <t>Workers</t>
  </si>
  <si>
    <t>8,279</t>
  </si>
  <si>
    <t>80%</t>
  </si>
  <si>
    <t>4,363</t>
  </si>
  <si>
    <t>42%</t>
  </si>
  <si>
    <t>6,015</t>
  </si>
  <si>
    <t>59%</t>
  </si>
  <si>
    <t>4,893</t>
  </si>
  <si>
    <t>48%</t>
  </si>
  <si>
    <t>615</t>
  </si>
  <si>
    <t>373</t>
  </si>
  <si>
    <t>55%</t>
  </si>
  <si>
    <t>94%</t>
  </si>
  <si>
    <t>286</t>
  </si>
  <si>
    <t>8,894</t>
  </si>
  <si>
    <t>4,736</t>
  </si>
  <si>
    <t>43%</t>
  </si>
  <si>
    <t>6,651</t>
  </si>
  <si>
    <t>5,179</t>
  </si>
  <si>
    <t>Table 11 — Training Coverage — Health &amp; Safety and Skill Upgradation (Chart-Ready Tables)</t>
  </si>
  <si>
    <t>Total  (Unit: Number)</t>
  </si>
  <si>
    <t>Employees – Male</t>
  </si>
  <si>
    <t>Employees – Female</t>
  </si>
  <si>
    <t>Employees – Total</t>
  </si>
  <si>
    <t>Workers – Male</t>
  </si>
  <si>
    <t>Workers – Female</t>
  </si>
  <si>
    <t>Workers – Total</t>
  </si>
  <si>
    <t>On Health And Safety Measures - No.  (Unit: Number)</t>
  </si>
  <si>
    <t>On Health And Safety Measures - %  (Unit: %)</t>
  </si>
  <si>
    <t>On Skill Upgradation - No.  (Unit: Number)</t>
  </si>
  <si>
    <t>On Skill Upgradation - %  (Unit: %)</t>
  </si>
  <si>
    <t>Table 12 — Performance &amp; Career Development Review Coverage</t>
  </si>
  <si>
    <t>BRSR Principle 3 | Source: ITC Report and Accounts 2026, Page 372 | FY 2025-26 vs FY 2024-25 (as applicable)</t>
  </si>
  <si>
    <t>Current Financial Year</t>
  </si>
  <si>
    <t>Previous Financial Year</t>
  </si>
  <si>
    <t>Total (C)</t>
  </si>
  <si>
    <t>No. (D)</t>
  </si>
  <si>
    <t>8,214</t>
  </si>
  <si>
    <t>79%</t>
  </si>
  <si>
    <t>7,863</t>
  </si>
  <si>
    <t>77%</t>
  </si>
  <si>
    <t>668</t>
  </si>
  <si>
    <t>665</t>
  </si>
  <si>
    <t>8,882</t>
  </si>
  <si>
    <t>8,528</t>
  </si>
  <si>
    <t>78%</t>
  </si>
  <si>
    <t>Table 12 — Performance &amp; Career Development Review Coverage (Chart-Ready Tables)</t>
  </si>
  <si>
    <t>BRSR Principle 3 | Source: ITC Report and Accounts 2026, Page 372 | Each block below is a self-contained table — select it and Insert &gt; Chart directly.</t>
  </si>
  <si>
    <t>No.  (Unit: Number)</t>
  </si>
  <si>
    <t>Table 13 — Safety Incident Metrics — LTIFR, Injuries, Fatalities</t>
  </si>
  <si>
    <t>BRSR Principle 3 | Source: ITC Report and Accounts 2026, Page 373 | FY 2025-26 vs FY 2024-25 (as applicable)</t>
  </si>
  <si>
    <t>Safety Incident/Number ^</t>
  </si>
  <si>
    <t>Category*</t>
  </si>
  <si>
    <t>Lost Time Injury Frequency Rate (LTIFR) (per one million-person hours worked)</t>
  </si>
  <si>
    <t>0.02</t>
  </si>
  <si>
    <t>0.04</t>
  </si>
  <si>
    <t>0.06</t>
  </si>
  <si>
    <t>0.16</t>
  </si>
  <si>
    <t>Total recordable work-related injuries</t>
  </si>
  <si>
    <t>1</t>
  </si>
  <si>
    <t>2</t>
  </si>
  <si>
    <t>4</t>
  </si>
  <si>
    <t>11</t>
  </si>
  <si>
    <t>No. of fatalities</t>
  </si>
  <si>
    <t>High consequence work-related injury or ill-health (excluding fatalities)</t>
  </si>
  <si>
    <t>Table 13 — Safety Incident Metrics — LTIFR, Injuries, Fatalities (Chart-Ready Tables)</t>
  </si>
  <si>
    <t>BRSR Principle 3 | Source: ITC Report and Accounts 2026, Page 373 | Each block below is a self-contained table — select it and Insert &gt; Chart directly.</t>
  </si>
  <si>
    <t>Value  (Unit: Number)</t>
  </si>
  <si>
    <t>Lost Time Injury Frequency Rate (LTIFR) (per one million-person hours worked) – Employees</t>
  </si>
  <si>
    <t>Lost Time Injury Frequency Rate (LTIFR) (per one million-person hours worked) – Workers</t>
  </si>
  <si>
    <t>Total recordable work-related injuries – Employees</t>
  </si>
  <si>
    <t>Total recordable work-related injuries – Workers</t>
  </si>
  <si>
    <t>No. of fatalities – Employees</t>
  </si>
  <si>
    <t>No. of fatalities – Workers</t>
  </si>
  <si>
    <t>High consequence work-related injury or ill-health (excluding fatalities) – Employees</t>
  </si>
  <si>
    <t>High consequence work-related injury or ill-health (excluding fatalities) – Workers</t>
  </si>
  <si>
    <t>Table 14 — Complaints on Working Conditions &amp; Health and Safety</t>
  </si>
  <si>
    <t>Filed During The Year</t>
  </si>
  <si>
    <t>Pending Resolution At The End Of Year</t>
  </si>
  <si>
    <t>Remarks</t>
  </si>
  <si>
    <t>Working Conditions</t>
  </si>
  <si>
    <t>Health &amp; Safety</t>
  </si>
  <si>
    <t>Table 14 — Complaints on Working Conditions &amp; Health and Safety (Chart-Ready Tables)</t>
  </si>
  <si>
    <t>Filed During The Year  (Unit: Number)</t>
  </si>
  <si>
    <t>Pending Resolution At The End Of Year  (Unit: Number)</t>
  </si>
  <si>
    <t>Table 15 — Health &amp; Safety / Working Conditions — Assessment Coverage</t>
  </si>
  <si>
    <t>% of your plants and offices that were assessed (by entity or statutory authorities or third parties)</t>
  </si>
  <si>
    <t>Health and safety practices</t>
  </si>
  <si>
    <t>Table 15 — Health &amp; Safety / Working Conditions — Assessment Coverage (Chart-Ready Tables)</t>
  </si>
  <si>
    <t>% of your plants and offices that were assessed (by entity or statutory authorities or third parties)  (Unit: %)</t>
  </si>
  <si>
    <t>Table 16 — Rehabilitation of Affected Employees / Workers</t>
  </si>
  <si>
    <t>BRSR Principle 3 | Source: ITC Report and Accounts 2026, Page 374 | FY 2025-26 vs FY 2024-25 (as applicable)</t>
  </si>
  <si>
    <t>Total No. Of Affected Employees/ Workers</t>
  </si>
  <si>
    <t>No. Of Employees/Workers That Are Rehabilitated And Placed In Suitable Employment Or Whose Family Members Have Been Placed In Suitable Employment*</t>
  </si>
  <si>
    <t>Table 16 — Rehabilitation of Affected Employees / Workers (Chart-Ready Tables)</t>
  </si>
  <si>
    <t>BRSR Principle 3 | Source: ITC Report and Accounts 2026, Page 374 | Each block below is a self-contained table — select it and Insert &gt; Chart directly.</t>
  </si>
  <si>
    <t>Total No. Of Affected Employees/ Workers  (Unit: Number)</t>
  </si>
  <si>
    <t>No. Of Employees/Workers That Are Rehabilitated And Placed In Suitable Employment Or Whose Family Members Have Been Placed In Suitable Employment*  (Unit: Number)</t>
  </si>
  <si>
    <t>Table 17 — Value Chain Partners — Health &amp; Safety Assessment Coverage</t>
  </si>
  <si>
    <t>BRSR Principle 3 | Source: ITC Report and Accounts 2026, Page 375 | FY 2025-26 vs FY 2024-25 (as applicable)</t>
  </si>
  <si>
    <t>% Of Value Chain Partners* (By Value Of Business Done With Such Partners) That Were Assessed</t>
  </si>
  <si>
    <t>• 13% (by spend value)# Additionally, in last 3 years, more than 95% Critical Tier-1 suppliers have been assessed as part of ITC’s Sustainable Supply Chain initiative.</t>
  </si>
  <si>
    <t>Table 17 — Value Chain Partners — Health &amp; Safety Assessment Coverage (Chart-Ready Tables)</t>
  </si>
  <si>
    <t>BRSR Principle 3 | Source: ITC Report and Accounts 2026, Page 375 | Each block below is a self-contained table — select it and Insert &gt; Chart directly.</t>
  </si>
  <si>
    <t>% Of Value Chain Partners* (By Value Of Business Done With Such Partners) That Were Assessed  (Unit: %)</t>
  </si>
  <si>
    <t>Table 19 — Stakeholder Engagement — Groups, Channels &amp; Frequency</t>
  </si>
  <si>
    <t>BRSR Principle 4 | Source: ITC Report and Accounts 2026, Page 375 | FY 2025-26 vs FY 2024-25 (as applicable)</t>
  </si>
  <si>
    <t>Stakeholder Group</t>
  </si>
  <si>
    <t>Whether Identified As Vulnerable &amp; Marginalized Group (Yes/No)</t>
  </si>
  <si>
    <t>Channels Of Communication (Email, SMS, Newspaper, Pamphlets, Advertisement, Community Meetings, Notice Board, Website), Other</t>
  </si>
  <si>
    <t>Frequency Of Engagement (Annually/Half Yearly/Quarterly/ Others – Please Specify)</t>
  </si>
  <si>
    <t>Purpose And Scope Of Engagement Including Key Topics And Concerns Raised During Such Engagement</t>
  </si>
  <si>
    <t>Providers of financial capital</t>
  </si>
  <si>
    <t>No</t>
  </si>
  <si>
    <t>Details of consultation mechanisms and key issues discussed with the stakeholder groups have been disclosed annually in the ‘Strengthening Relationships with All Stakeholders’ section of ITC’s Sustainability Report.</t>
  </si>
  <si>
    <t>Government and regulatory authorities</t>
  </si>
  <si>
    <t>Customers</t>
  </si>
  <si>
    <t>Farmers</t>
  </si>
  <si>
    <t>Yes</t>
  </si>
  <si>
    <t>Value chain partners</t>
  </si>
  <si>
    <t>Media</t>
  </si>
  <si>
    <t>Civil Society</t>
  </si>
  <si>
    <t>Local communities</t>
  </si>
  <si>
    <t>Table 21 — Human Rights Training Coverage — Employees &amp; Workers</t>
  </si>
  <si>
    <t>BRSR Principle 5 | Source: ITC Report and Accounts 2026, Page 378 | FY 2025-26 vs FY 2024-25 (as applicable)</t>
  </si>
  <si>
    <t>No. Of Employees/ Workers Covered (B)</t>
  </si>
  <si>
    <t>No. Of Employees/ Workers Covered (D)</t>
  </si>
  <si>
    <t>Permanent</t>
  </si>
  <si>
    <t>Other than permanent</t>
  </si>
  <si>
    <t>525</t>
  </si>
  <si>
    <t>Total Employees</t>
  </si>
  <si>
    <t>12,078</t>
  </si>
  <si>
    <t>11,691</t>
  </si>
  <si>
    <t>24,792</t>
  </si>
  <si>
    <t>Total Workers</t>
  </si>
  <si>
    <t>36,559</t>
  </si>
  <si>
    <t>35,667</t>
  </si>
  <si>
    <t>Table 21 — Human Rights Training Coverage — Employees &amp; Workers (Chart-Ready Tables)</t>
  </si>
  <si>
    <t>BRSR Principle 5 | Source: ITC Report and Accounts 2026, Page 378 | Each block below is a self-contained table — select it and Insert &gt; Chart directly.</t>
  </si>
  <si>
    <t>Employees – Permanent</t>
  </si>
  <si>
    <t>Employees – Other than permanent</t>
  </si>
  <si>
    <t>Employees – Total Employees</t>
  </si>
  <si>
    <t>Workers – Permanent</t>
  </si>
  <si>
    <t>Workers – Other than permanent</t>
  </si>
  <si>
    <t>Workers – Total Workers</t>
  </si>
  <si>
    <t>No. Of Employees/ Workers Covered  (Unit: Number)</t>
  </si>
  <si>
    <t>Table 22 — Minimum Wage Compliance — Employees &amp; Workers</t>
  </si>
  <si>
    <t>Equal to Minimum Wage</t>
  </si>
  <si>
    <t>More Than Minimum Wage</t>
  </si>
  <si>
    <t>More than Minimum Wage</t>
  </si>
  <si>
    <t>Other than Permanent</t>
  </si>
  <si>
    <t>369</t>
  </si>
  <si>
    <t>156</t>
  </si>
  <si>
    <t>305</t>
  </si>
  <si>
    <t>3%</t>
  </si>
  <si>
    <t>10,746</t>
  </si>
  <si>
    <t>295</t>
  </si>
  <si>
    <t>10,580</t>
  </si>
  <si>
    <t>91</t>
  </si>
  <si>
    <t>1%</t>
  </si>
  <si>
    <t>10,277</t>
  </si>
  <si>
    <t>99%</t>
  </si>
  <si>
    <t>61</t>
  </si>
  <si>
    <t>10,136</t>
  </si>
  <si>
    <t>214</t>
  </si>
  <si>
    <t>31%</t>
  </si>
  <si>
    <t>469</t>
  </si>
  <si>
    <t>69%</t>
  </si>
  <si>
    <t>234</t>
  </si>
  <si>
    <t>35%</t>
  </si>
  <si>
    <t>444</t>
  </si>
  <si>
    <t>65%</t>
  </si>
  <si>
    <t>8,527</t>
  </si>
  <si>
    <t>16,981</t>
  </si>
  <si>
    <t>9,014</t>
  </si>
  <si>
    <t>36%</t>
  </si>
  <si>
    <t>15,778</t>
  </si>
  <si>
    <t>5,951</t>
  </si>
  <si>
    <t>28%</t>
  </si>
  <si>
    <t>15,252</t>
  </si>
  <si>
    <t>72%</t>
  </si>
  <si>
    <t>20,690</t>
  </si>
  <si>
    <t>6,477</t>
  </si>
  <si>
    <t>14,213</t>
  </si>
  <si>
    <t>2,576</t>
  </si>
  <si>
    <t>60%</t>
  </si>
  <si>
    <t>1,729</t>
  </si>
  <si>
    <t>4,102</t>
  </si>
  <si>
    <t>2,537</t>
  </si>
  <si>
    <t>62%</t>
  </si>
  <si>
    <t>1,565</t>
  </si>
  <si>
    <t>38%</t>
  </si>
  <si>
    <t>Table 22 — Minimum Wage Compliance — Employees &amp; Workers (Chart-Ready Tables)</t>
  </si>
  <si>
    <t>Employees – Permanent – Male</t>
  </si>
  <si>
    <t>Employees – Permanent – Female</t>
  </si>
  <si>
    <t>Employees – Other than Permanent</t>
  </si>
  <si>
    <t>Employees – Other than Permanent – Male</t>
  </si>
  <si>
    <t>Employees – Other than Permanent – Female</t>
  </si>
  <si>
    <t>Workers – Permanent – Male</t>
  </si>
  <si>
    <t>Workers – Permanent – Female</t>
  </si>
  <si>
    <t>Workers – Other than Permanent</t>
  </si>
  <si>
    <t>Workers – Other than Permanent – Male</t>
  </si>
  <si>
    <t>Workers – Other than Permanent – Female</t>
  </si>
  <si>
    <t>Equal to Minimum Wage - No.  (Unit: Number)</t>
  </si>
  <si>
    <t>Equal to Minimum Wage - %  (Unit: %)</t>
  </si>
  <si>
    <t>More Than Minimum Wage - No.  (Unit: Number)</t>
  </si>
  <si>
    <t>More Than Minimum Wage - %  (Unit: %)</t>
  </si>
  <si>
    <t>More than Minimum Wage - No.  (Unit: Number)</t>
  </si>
  <si>
    <t>More than Minimum Wage - %  (Unit: %)</t>
  </si>
  <si>
    <t>Table 23 — Median Remuneration by Gender — BoD, KMP, Employees, Workers</t>
  </si>
  <si>
    <t>BRSR Principle 5 | Source: ITC Report and Accounts 2026, Page 379 | FY 2025-26 vs FY 2024-25 (as applicable)</t>
  </si>
  <si>
    <t>Number</t>
  </si>
  <si>
    <t>Median Remuneration/ Salary/Wages Of Respective Category (In INR)</t>
  </si>
  <si>
    <t>Board of Directors (BoD)</t>
  </si>
  <si>
    <t>14</t>
  </si>
  <si>
    <t>1,18,15,000</t>
  </si>
  <si>
    <t>3</t>
  </si>
  <si>
    <t>1,16,69,863</t>
  </si>
  <si>
    <t>Key Managerial Personnel*</t>
  </si>
  <si>
    <t>5</t>
  </si>
  <si>
    <t>10,53,61,421</t>
  </si>
  <si>
    <t>Employees other than BoD and KMP</t>
  </si>
  <si>
    <t>9,357</t>
  </si>
  <si>
    <t>11,35,490</t>
  </si>
  <si>
    <t>9,46,718</t>
  </si>
  <si>
    <t>5,30,593</t>
  </si>
  <si>
    <t>2,25,424#</t>
  </si>
  <si>
    <t>Table 23 — Median Remuneration by Gender — BoD, KMP, Employees, Workers (Chart-Ready Tables)</t>
  </si>
  <si>
    <t>BRSR Principle 5 | Source: ITC Report and Accounts 2026, Page 379 | Each block below is a self-contained table — select it and Insert &gt; Chart directly.</t>
  </si>
  <si>
    <t>Male - Number  (Unit: Number)</t>
  </si>
  <si>
    <t>Male - Median Remuneration/ Salary/Wages Of Respective Category (In INR)  (Unit: Number)</t>
  </si>
  <si>
    <t>Female - Number  (Unit: Number)</t>
  </si>
  <si>
    <t>Female - Median Remuneration/ Salary/Wages Of Respective Category (In INR)  (Unit: Number)</t>
  </si>
  <si>
    <t>Table 24 — Gender Pay Gap — Gross Wages Paid to Females (% of Total)</t>
  </si>
  <si>
    <t>Gross wages paid to females as % of total wages paid</t>
  </si>
  <si>
    <t>11%</t>
  </si>
  <si>
    <t>10%</t>
  </si>
  <si>
    <t>Table 24 — Gender Pay Gap — Gross Wages Paid to Females (% of Total) (Chart-Ready Tables)</t>
  </si>
  <si>
    <t>Table 25 — Human Rights Complaints — Filed &amp; Pending Resolution</t>
  </si>
  <si>
    <t>BRSR Principle 5 | Source: ITC Report and Accounts 2026, Page 380 | FY 2025-26 vs FY 2024-25 (as applicable)</t>
  </si>
  <si>
    <t>Sexual Harassment</t>
  </si>
  <si>
    <t>Discrimination at workplace</t>
  </si>
  <si>
    <t>Child Labour</t>
  </si>
  <si>
    <t>Forced Labour/ Involuntary Labour</t>
  </si>
  <si>
    <t>Wages</t>
  </si>
  <si>
    <t>Other Human Rights Related Issues</t>
  </si>
  <si>
    <t>Table 25 — Human Rights Complaints — Filed &amp; Pending Resolution (Chart-Ready Tables)</t>
  </si>
  <si>
    <t>BRSR Principle 5 | Source: ITC Report and Accounts 2026, Page 380 | Each block below is a self-contained table — select it and Insert &gt; Chart directly.</t>
  </si>
  <si>
    <t>Table 26 — POSH Complaints Summary (Sexual Harassment at Workplace Act)</t>
  </si>
  <si>
    <t>Total Complaints reported under Sexual Harassment on of Women at Workplace (Prevention, Prohibition and Redressal) Act, 2013 (POSH)</t>
  </si>
  <si>
    <t>Complaints on POSH as a % of female employees / workers</t>
  </si>
  <si>
    <t>0.07%</t>
  </si>
  <si>
    <t>0.08%</t>
  </si>
  <si>
    <t>Complaints on POSH upheld</t>
  </si>
  <si>
    <t>Table 26 — POSH Complaints Summary (Sexual Harassment at Workplace Act) (Chart-Ready Tables)</t>
  </si>
  <si>
    <t>Table 27 — Human Rights Assessment Coverage — Plants &amp; Offices</t>
  </si>
  <si>
    <t>% Of Your Plants And Offices That Were Assessed (By Entity Or Statutory Authorities Or Third Parties)</t>
  </si>
  <si>
    <t>Child labour</t>
  </si>
  <si>
    <t>Forced/involuntary labour</t>
  </si>
  <si>
    <t>Others-please specify</t>
  </si>
  <si>
    <t>Table 27 — Human Rights Assessment Coverage — Plants &amp; Offices (Chart-Ready Tables)</t>
  </si>
  <si>
    <t>% Of Your Plants And Offices That Were Assessed (By Entity Or Statutory Authorities Or Third Parties)  (Unit: %)</t>
  </si>
  <si>
    <t>Table 28 — Human Rights Assessment Coverage — Value Chain Partners</t>
  </si>
  <si>
    <t>BRSR Principle 5 | Source: ITC Report and Accounts 2026, Page 382 | FY 2025-26 vs FY 2024-25 (as applicable)</t>
  </si>
  <si>
    <t>Forced Labour/Involuntary Labour</t>
  </si>
  <si>
    <t>Others – please specify</t>
  </si>
  <si>
    <t>Table 28 — Human Rights Assessment Coverage — Value Chain Partners (Chart-Ready Tables)</t>
  </si>
  <si>
    <t>BRSR Principle 5 | Source: ITC Report and Accounts 2026, Page 382 | Each block below is a self-contained table — select it and Insert &gt; Chart directly.</t>
  </si>
  <si>
    <t>Table 30 — Energy Consumption — Renewable vs Non-Renewable Sources</t>
  </si>
  <si>
    <t>BRSR Principle 6 | Source: ITC Report and Accounts 2026, Page 382 | FY 2025-26 vs FY 2024-25 (as applicable)</t>
  </si>
  <si>
    <t>Parameter (All quantities in TJ except where specified)</t>
  </si>
  <si>
    <t>From renewable sources</t>
  </si>
  <si>
    <t>Total electricity consumption (A)</t>
  </si>
  <si>
    <t>964</t>
  </si>
  <si>
    <t>868</t>
  </si>
  <si>
    <t>Total fuel consumption (B)</t>
  </si>
  <si>
    <t>11,182</t>
  </si>
  <si>
    <t>12,383</t>
  </si>
  <si>
    <t>Energy consumption through other sources (C)</t>
  </si>
  <si>
    <t>187</t>
  </si>
  <si>
    <t>183</t>
  </si>
  <si>
    <t>Total energy consumed from renewable sources (A+B+C)</t>
  </si>
  <si>
    <t>12,334#</t>
  </si>
  <si>
    <t>13,434</t>
  </si>
  <si>
    <t>From non-renewable sources</t>
  </si>
  <si>
    <t>Total electricity consumption (D)</t>
  </si>
  <si>
    <t>761</t>
  </si>
  <si>
    <t>757</t>
  </si>
  <si>
    <t>Total fuel consumption (E)</t>
  </si>
  <si>
    <t>10,930</t>
  </si>
  <si>
    <t>11,600</t>
  </si>
  <si>
    <t>Energy consumption through other sources (F)</t>
  </si>
  <si>
    <t>Total energy consumed from non-renewable sources (D+E+F)</t>
  </si>
  <si>
    <t>12,357</t>
  </si>
  <si>
    <t>Total energy consumed (A+B+C+D+E+F)</t>
  </si>
  <si>
    <t>24,025</t>
  </si>
  <si>
    <t>25,791</t>
  </si>
  <si>
    <t>Energy intensity per rupee of turnover (Total energy consumed / Revenue from operations) (in Giga Joules/Crore INR)</t>
  </si>
  <si>
    <t>294</t>
  </si>
  <si>
    <t>347</t>
  </si>
  <si>
    <t>Energy intensity per rupee of turnover adjusted for Purchasing Power Parity (PPP) (Total energy consumed / Revenue from operations adjusted for PPP) (in GJ/Million USD)</t>
  </si>
  <si>
    <t>599</t>
  </si>
  <si>
    <t>718</t>
  </si>
  <si>
    <t>Energy intensity in terms of physical output - PSPD* (in GJ/tonne of production for PSPD)</t>
  </si>
  <si>
    <t>21.0</t>
  </si>
  <si>
    <t>23.0</t>
  </si>
  <si>
    <t>Energy intensity in terms of physical output - FBD* (in GJ/tonne of production for FBD)</t>
  </si>
  <si>
    <t>2.9</t>
  </si>
  <si>
    <t>Table 30 — Energy Consumption — Renewable vs Non-Renewable Sources (Chart-Ready Tables)</t>
  </si>
  <si>
    <t>BRSR Principle 6 | Source: ITC Report and Accounts 2026, Page 382 | Each block below is a self-contained table — select it and Insert &gt; Chart directly.</t>
  </si>
  <si>
    <t>From renewable sources – Total electricity consumption (A)</t>
  </si>
  <si>
    <t>From renewable sources – Total fuel consumption (B)</t>
  </si>
  <si>
    <t>From renewable sources – Energy consumption through other sources (C)</t>
  </si>
  <si>
    <t>From renewable sources – Total energy consumed from renewable sources (A+B+C)</t>
  </si>
  <si>
    <t>From non-renewable sources – Total electricity consumption (D)</t>
  </si>
  <si>
    <t>From non-renewable sources – Total fuel consumption (E)</t>
  </si>
  <si>
    <t>From non-renewable sources – Energy consumption through other sources (F)</t>
  </si>
  <si>
    <t>From non-renewable sources – Total energy consumed from non-renewable sources (D+E+F)</t>
  </si>
  <si>
    <t>From non-renewable sources – Total energy consumed (A+B+C+D+E+F)</t>
  </si>
  <si>
    <t>From non-renewable sources – Energy intensity per rupee of turnover (Total energy consumed / Revenue from operations) (in Giga Joules/Crore INR)</t>
  </si>
  <si>
    <t>From non-renewable sources – Energy intensity per rupee of turnover adjusted for Purchasing Power Parity (PPP) (Total energy consumed / Revenue from operations adjusted for PPP) (in GJ/Million USD)</t>
  </si>
  <si>
    <t>From non-renewable sources – Energy intensity in terms of physical output - PSPD* (in GJ/tonne of production for PSPD)</t>
  </si>
  <si>
    <t>From non-renewable sources – Energy intensity in terms of physical output - FBD* (in GJ/tonne of production for FBD)</t>
  </si>
  <si>
    <t>Table 31 — Resettlement &amp; Rehabilitation — Project Affected Families</t>
  </si>
  <si>
    <t>BRSR Principle 6/8 | Source: ITC Report and Accounts 2026, Page 392 | FY 2025-26 vs FY 2024-25 (as applicable)</t>
  </si>
  <si>
    <t>S. No.</t>
  </si>
  <si>
    <t>Name Of Project For Which R&amp;R Is Ongoing</t>
  </si>
  <si>
    <t>State</t>
  </si>
  <si>
    <t>District</t>
  </si>
  <si>
    <t>No. Of Project Affected Families (PAFs)</t>
  </si>
  <si>
    <t>% Of PAFs Covered By R&amp;R</t>
  </si>
  <si>
    <t>Amount Paid To PAFs In The FY (In INR)</t>
  </si>
  <si>
    <t>Not Applicable</t>
  </si>
  <si>
    <t>Table 32 — Sourcing / Presence by Location Type</t>
  </si>
  <si>
    <t>BRSR Principle 8 | Source: ITC Report and Accounts 2026, Page 392 | FY 2025-26 vs FY 2024-25 (as applicable)</t>
  </si>
  <si>
    <t>Location</t>
  </si>
  <si>
    <t>FY 2025-26 Current Financial Year</t>
  </si>
  <si>
    <t>FY 2024-25 Previous Financial Year</t>
  </si>
  <si>
    <t>Rural</t>
  </si>
  <si>
    <t>15%</t>
  </si>
  <si>
    <t>Semi-urban</t>
  </si>
  <si>
    <t>Urban</t>
  </si>
  <si>
    <t>18%</t>
  </si>
  <si>
    <t>Metropolitan</t>
  </si>
  <si>
    <t>57%</t>
  </si>
  <si>
    <t>Table 32 — Sourcing / Presence by Location Type (Chart-Ready Tables)</t>
  </si>
  <si>
    <t>BRSR Principle 8 | Source: ITC Report and Accounts 2026, Page 392 | Each block below is a self-contained table — select it and Insert &gt; Chart directly.</t>
  </si>
  <si>
    <t>Table 33 — Sourcing from MSMEs / Small Producers &amp; Within India</t>
  </si>
  <si>
    <t>Directly sourced from MSMEs/small producers</t>
  </si>
  <si>
    <t>32.38%</t>
  </si>
  <si>
    <t>29.72%</t>
  </si>
  <si>
    <t>Directly from within India</t>
  </si>
  <si>
    <t>92.59%</t>
  </si>
  <si>
    <t>92.86%</t>
  </si>
  <si>
    <t>Table 33 — Sourcing from MSMEs / Small Producers &amp; Within India (Chart-Ready Tables)</t>
  </si>
  <si>
    <t>Table 34 — CSR Spend in Aspirational Districts (Rs. Lakhs)</t>
  </si>
  <si>
    <t>Aspirational District</t>
  </si>
  <si>
    <t>Amount Spent (In Rs. Lakhs)</t>
  </si>
  <si>
    <t>Telangana</t>
  </si>
  <si>
    <t>Bhadradri Kothagudem</t>
  </si>
  <si>
    <t>2,992.35</t>
  </si>
  <si>
    <t>Uttarakhand</t>
  </si>
  <si>
    <t>Haridwar</t>
  </si>
  <si>
    <t>624.50</t>
  </si>
  <si>
    <t>Odisha</t>
  </si>
  <si>
    <t>Malkangiri</t>
  </si>
  <si>
    <t>305.98</t>
  </si>
  <si>
    <t>Madhya Pradesh</t>
  </si>
  <si>
    <t>Vidisha</t>
  </si>
  <si>
    <t>302.13</t>
  </si>
  <si>
    <t>Assam</t>
  </si>
  <si>
    <t>Darrang</t>
  </si>
  <si>
    <t>275.08</t>
  </si>
  <si>
    <t>Bihar</t>
  </si>
  <si>
    <t>Begusarai</t>
  </si>
  <si>
    <t>256.31</t>
  </si>
  <si>
    <t>Rajasthan</t>
  </si>
  <si>
    <t>Jaisalmer</t>
  </si>
  <si>
    <t>229.68</t>
  </si>
  <si>
    <t>Uttar Pradesh</t>
  </si>
  <si>
    <t>Bahraich</t>
  </si>
  <si>
    <t>217.66</t>
  </si>
  <si>
    <t>Baran</t>
  </si>
  <si>
    <t>177.44</t>
  </si>
  <si>
    <t>Chandauli</t>
  </si>
  <si>
    <t>172.86</t>
  </si>
  <si>
    <t>Maharashtra</t>
  </si>
  <si>
    <t>Washim</t>
  </si>
  <si>
    <t>141.11</t>
  </si>
  <si>
    <t>Chhattisgarh</t>
  </si>
  <si>
    <t>Sukma</t>
  </si>
  <si>
    <t>123.17</t>
  </si>
  <si>
    <t>Nandurbar</t>
  </si>
  <si>
    <t>114.40</t>
  </si>
  <si>
    <t>Multiple* (17 States)</t>
  </si>
  <si>
    <t>Multiple*</t>
  </si>
  <si>
    <t>1,016.94</t>
  </si>
  <si>
    <t>Table 34 — CSR Spend in Aspirational Districts (Rs. Lakhs) (Chart-Ready Tables)</t>
  </si>
  <si>
    <t>Amount Spent (In Rs. Lakhs)  (Unit: Number)</t>
  </si>
  <si>
    <t>Telangana – Bhadradri Kothagudem</t>
  </si>
  <si>
    <t>Uttarakhand – Haridwar</t>
  </si>
  <si>
    <t>Odisha – Malkangiri</t>
  </si>
  <si>
    <t>Madhya Pradesh – Vidisha</t>
  </si>
  <si>
    <t>Assam – Darrang</t>
  </si>
  <si>
    <t>Bihar – Begusarai</t>
  </si>
  <si>
    <t>Rajasthan – Jaisalmer</t>
  </si>
  <si>
    <t>Uttar Pradesh – Bahraich</t>
  </si>
  <si>
    <t>Rajasthan – Baran</t>
  </si>
  <si>
    <t>Uttar Pradesh – Chandauli</t>
  </si>
  <si>
    <t>Maharashtra – Washim</t>
  </si>
  <si>
    <t>Chhattisgarh – Sukma</t>
  </si>
  <si>
    <t>Maharashtra – Nandurbar</t>
  </si>
  <si>
    <t>Multiple* (17 States) – Multiple*</t>
  </si>
  <si>
    <t>Table 35 — CSR Project Beneficiaries &amp; Vulnerable Group Coverage (FY 2025-26)</t>
  </si>
  <si>
    <t>BRSR Principle 8 | Source: ITC Report and Accounts 2026, Page 393 | FY 2025-26 vs FY 2024-25 (as applicable)</t>
  </si>
  <si>
    <t>CSR Projects</t>
  </si>
  <si>
    <t>No. Of Beneficiaries Benefitted From CSR Projects (2025-26)</t>
  </si>
  <si>
    <t>% Of Beneficiaries From Vulnerable And Marginalised Groups</t>
  </si>
  <si>
    <t>Natural Resources Management - Water Stewardship</t>
  </si>
  <si>
    <t>66,870</t>
  </si>
  <si>
    <t>SC/ST – 9%; Female – 23%</t>
  </si>
  <si>
    <t>Climate Smart Agriculture</t>
  </si>
  <si>
    <t>12.09 Lakhs</t>
  </si>
  <si>
    <t>SC/ST – 17%; Female – 19%</t>
  </si>
  <si>
    <t>On-Farm Livelihood Diversification - Social Forestry</t>
  </si>
  <si>
    <t>8,950</t>
  </si>
  <si>
    <t>SC/ST – 28%; Female – 23%</t>
  </si>
  <si>
    <t>Off-Farm Livelihood Diversification - Improved Animal Husbandry Practices</t>
  </si>
  <si>
    <t>2.16 Lakhs</t>
  </si>
  <si>
    <t>SC/ST – 21%; Female – 50%</t>
  </si>
  <si>
    <t>Support To Education</t>
  </si>
  <si>
    <t>10.94 Lakhs</t>
  </si>
  <si>
    <t>Children – 100%; ~50% Girl Children</t>
  </si>
  <si>
    <t>Skilling Of Youth</t>
  </si>
  <si>
    <t>17,600</t>
  </si>
  <si>
    <t>SC/ST – 24%; Female – ~49%</t>
  </si>
  <si>
    <t>Improving Health &amp; Sanitation - Waste Management</t>
  </si>
  <si>
    <t>7.13 Lakhs</t>
  </si>
  <si>
    <t>SC/ST – 1.61%</t>
  </si>
  <si>
    <t>Improving Health &amp; Sanitation - Maternal And Child Health And Nutrition</t>
  </si>
  <si>
    <t>17 Lakhs</t>
  </si>
  <si>
    <t>100% - Women, Adolescents And Chil- dren</t>
  </si>
  <si>
    <t>Women Empowerment</t>
  </si>
  <si>
    <t>9.48 Lakhs*</t>
  </si>
  <si>
    <t>100% Women</t>
  </si>
  <si>
    <t>Table 35 — CSR Project Beneficiaries &amp; Vulnerable Group Coverage (FY 2025-26) (Chart-Ready Tables)</t>
  </si>
  <si>
    <t>BRSR Principle 8 | Source: ITC Report and Accounts 2026, Page 393 | Each block below is a self-contained table — select it and Insert &gt; Chart directly.</t>
  </si>
  <si>
    <t>No. Of Beneficiaries Benefitted From CSR Projects (2025-26)  (Unit: Number)</t>
  </si>
  <si>
    <t>% Of Beneficiaries From Vulnerable And Marginalised Groups  (Unit: %)</t>
  </si>
  <si>
    <t>Row Labels</t>
  </si>
  <si>
    <t>Grand Total</t>
  </si>
  <si>
    <t>Sum of Value</t>
  </si>
  <si>
    <t>Return to Work Rate</t>
  </si>
  <si>
    <t>Return to Work Rates</t>
  </si>
  <si>
    <t xml:space="preserve"> Retention Rates</t>
  </si>
  <si>
    <t>Sum of FY 2025-26</t>
  </si>
  <si>
    <t>Sum of FY 2024-25</t>
  </si>
  <si>
    <t>FY 2025-2026</t>
  </si>
  <si>
    <t xml:space="preserve"> FY 2024-2025</t>
  </si>
  <si>
    <t xml:space="preserve"> FY 2025-2026</t>
  </si>
  <si>
    <t>FY 2024-2025</t>
  </si>
  <si>
    <t>AVG</t>
  </si>
  <si>
    <t>MALE REMUNERATION - AVG</t>
  </si>
  <si>
    <t>FEMALE REMUNERATIONAVG</t>
  </si>
  <si>
    <t xml:space="preserve">AVG - MALE REMUNERATION </t>
  </si>
  <si>
    <t>AVG - FEMALE REMUNERATION</t>
  </si>
  <si>
    <t xml:space="preserve"> Value in Lakhs</t>
  </si>
  <si>
    <t>NUMBER OF BENEFICIARIES</t>
  </si>
  <si>
    <r>
      <t xml:space="preserve">ITC ESG SOCIAL DASHBOARD 2026     </t>
    </r>
    <r>
      <rPr>
        <b/>
        <sz val="11"/>
        <color theme="0"/>
        <rFont val="Calibri"/>
        <family val="2"/>
        <scheme val="minor"/>
      </rPr>
      <t xml:space="preserve">
• ESG Performance Summary_x000B_ • FY2024–25 vs FY2025–26 Comparison_x000B_• Key Sustainability Insights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</si>
</sst>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x14ac:knownFonts="1">
    <font>
      <sz val="11"/>
      <color theme="1"/>
      <name val="Calibri"/>
      <family val="2"/>
      <charset val="1"/>
    </font>
    <font>
      <b/>
      <sz val="18"/>
      <color rgb="FFFFFFFF"/>
      <name val="Arial"/>
      <charset val="1"/>
    </font>
    <font>
      <b/>
      <sz val="10"/>
      <name val="Arial"/>
      <charset val="1"/>
    </font>
    <font>
      <sz val="10"/>
      <name val="Arial"/>
      <charset val="1"/>
    </font>
    <font>
      <b/>
      <sz val="12"/>
      <name val="Arial"/>
      <charset val="1"/>
    </font>
    <font>
      <b/>
      <sz val="10"/>
      <color rgb="FFFFFFFF"/>
      <name val="Arial"/>
      <charset val="1"/>
    </font>
    <font>
      <b/>
      <sz val="13"/>
      <color rgb="FFFFFFFF"/>
      <name val="Arial"/>
      <charset val="1"/>
    </font>
    <font>
      <i/>
      <sz val="9"/>
      <color rgb="FF595959"/>
      <name val="Arial"/>
      <charset val="1"/>
    </font>
    <font>
      <b/>
      <sz val="10"/>
      <color rgb="FF000000"/>
      <name val="Arial"/>
      <charset val="1"/>
    </font>
    <font>
      <sz val="10"/>
      <color rgb="FF000000"/>
      <name val="Arial"/>
      <charset val="1"/>
    </font>
    <font>
      <b/>
      <sz val="16"/>
      <color rgb="FFFFFFFF"/>
      <name val="Arial"/>
      <charset val="1"/>
    </font>
    <font>
      <b/>
      <i/>
      <sz val="10"/>
      <color rgb="FF1F3864"/>
      <name val="Arial"/>
      <charset val="1"/>
    </font>
    <font>
      <b/>
      <sz val="11"/>
      <color theme="1"/>
      <name val="Calibri"/>
      <family val="2"/>
      <scheme val="minor"/>
    </font>
    <font>
      <b/>
      <sz val="28"/>
      <color theme="1"/>
      <name val="Calibri"/>
      <family val="2"/>
      <scheme val="minor"/>
    </font>
    <font>
      <b/>
      <sz val="10"/>
      <color rgb="FFFFFFFF"/>
      <name val="Arial"/>
      <family val="2"/>
    </font>
    <font>
      <sz val="8"/>
      <name val="Calibri"/>
      <family val="2"/>
      <charset val="1"/>
    </font>
    <font>
      <b/>
      <sz val="36"/>
      <color theme="0"/>
      <name val="Calibri"/>
      <family val="2"/>
      <scheme val="minor"/>
    </font>
    <font>
      <b/>
      <sz val="11"/>
      <color theme="0"/>
      <name val="Calibri"/>
      <family val="2"/>
      <scheme val="minor"/>
    </font>
  </fonts>
  <fills count="9">
    <fill>
      <patternFill patternType="none"/>
    </fill>
    <fill>
      <patternFill patternType="gray125"/>
    </fill>
    <fill>
      <patternFill patternType="solid">
        <fgColor rgb="FF1F3864"/>
        <bgColor rgb="FF333333"/>
      </patternFill>
    </fill>
    <fill>
      <patternFill patternType="solid">
        <fgColor rgb="FF4472C4"/>
        <bgColor rgb="FF2E5395"/>
      </patternFill>
    </fill>
    <fill>
      <patternFill patternType="solid">
        <fgColor rgb="FFF2F2F2"/>
        <bgColor rgb="FFFFFFFF"/>
      </patternFill>
    </fill>
    <fill>
      <patternFill patternType="solid">
        <fgColor rgb="FF2E5395"/>
        <bgColor rgb="FF1F3864"/>
      </patternFill>
    </fill>
    <fill>
      <patternFill patternType="solid">
        <fgColor rgb="FFD9E2F3"/>
        <bgColor rgb="FFF2F2F2"/>
      </patternFill>
    </fill>
    <fill>
      <patternFill patternType="solid">
        <fgColor theme="0"/>
        <bgColor indexed="64"/>
      </patternFill>
    </fill>
    <fill>
      <patternFill patternType="solid">
        <fgColor rgb="FF006600"/>
        <bgColor indexed="64"/>
      </patternFill>
    </fill>
  </fills>
  <borders count="11">
    <border>
      <left/>
      <right/>
      <top/>
      <bottom/>
      <diagonal/>
    </border>
    <border>
      <left style="thin">
        <color rgb="FFB7B7B7"/>
      </left>
      <right style="thin">
        <color rgb="FFB7B7B7"/>
      </right>
      <top style="thin">
        <color rgb="FFB7B7B7"/>
      </top>
      <bottom style="thin">
        <color rgb="FFB7B7B7"/>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B7B7B7"/>
      </left>
      <right style="thin">
        <color rgb="FFB7B7B7"/>
      </right>
      <top/>
      <bottom/>
      <diagonal/>
    </border>
  </borders>
  <cellStyleXfs count="1">
    <xf numFmtId="0" fontId="0" fillId="0" borderId="0"/>
  </cellStyleXfs>
  <cellXfs count="49">
    <xf numFmtId="0" fontId="0" fillId="0" borderId="0" xfId="0"/>
    <xf numFmtId="0" fontId="11" fillId="6" borderId="1" xfId="0" applyFont="1" applyFill="1" applyBorder="1" applyAlignment="1">
      <alignment horizontal="right" vertical="center" wrapText="1"/>
    </xf>
    <xf numFmtId="0" fontId="5" fillId="3" borderId="1" xfId="0" applyFont="1" applyFill="1" applyBorder="1" applyAlignment="1">
      <alignment horizontal="center" vertical="center" wrapText="1"/>
    </xf>
    <xf numFmtId="0" fontId="2" fillId="0" borderId="0" xfId="0" applyFont="1"/>
    <xf numFmtId="0" fontId="3" fillId="0" borderId="0" xfId="0" applyFont="1" applyAlignment="1">
      <alignment vertical="center" wrapText="1"/>
    </xf>
    <xf numFmtId="0" fontId="4" fillId="0" borderId="0" xfId="0" applyFont="1"/>
    <xf numFmtId="0" fontId="5" fillId="3" borderId="0" xfId="0" applyFont="1" applyFill="1"/>
    <xf numFmtId="0" fontId="8" fillId="0" borderId="1" xfId="0" applyFont="1" applyBorder="1" applyAlignment="1">
      <alignment horizontal="left" vertical="center" wrapText="1"/>
    </xf>
    <xf numFmtId="0" fontId="9" fillId="0" borderId="1" xfId="0" applyFont="1" applyBorder="1" applyAlignment="1">
      <alignment horizontal="righ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right" vertical="center" wrapText="1"/>
    </xf>
    <xf numFmtId="164" fontId="9" fillId="0" borderId="1" xfId="0" applyNumberFormat="1" applyFont="1" applyBorder="1" applyAlignment="1">
      <alignment horizontal="right" vertical="center" wrapText="1"/>
    </xf>
    <xf numFmtId="165" fontId="9" fillId="0" borderId="1" xfId="0" applyNumberFormat="1" applyFont="1" applyBorder="1" applyAlignment="1">
      <alignment horizontal="right" vertical="center" wrapText="1"/>
    </xf>
    <xf numFmtId="0" fontId="11" fillId="6" borderId="1" xfId="0" applyFont="1" applyFill="1" applyBorder="1" applyAlignment="1">
      <alignment horizontal="left" vertical="center" wrapText="1"/>
    </xf>
    <xf numFmtId="164" fontId="9" fillId="4" borderId="1" xfId="0" applyNumberFormat="1" applyFont="1" applyFill="1" applyBorder="1" applyAlignment="1">
      <alignment horizontal="right" vertical="center" wrapText="1"/>
    </xf>
    <xf numFmtId="165" fontId="9" fillId="4" borderId="1" xfId="0" applyNumberFormat="1" applyFont="1" applyFill="1" applyBorder="1" applyAlignment="1">
      <alignment horizontal="right" vertical="center" wrapText="1"/>
    </xf>
    <xf numFmtId="0" fontId="9" fillId="0" borderId="1" xfId="0" applyFont="1" applyBorder="1" applyAlignment="1">
      <alignment horizontal="left" vertical="center" wrapText="1"/>
    </xf>
    <xf numFmtId="0" fontId="9" fillId="4" borderId="1" xfId="0" applyFont="1" applyFill="1" applyBorder="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4" fillId="3" borderId="1" xfId="0" applyFont="1" applyFill="1" applyBorder="1" applyAlignment="1">
      <alignment horizontal="center" vertical="center" wrapText="1"/>
    </xf>
    <xf numFmtId="0" fontId="5" fillId="3" borderId="10" xfId="0" applyFont="1" applyFill="1" applyBorder="1" applyAlignment="1">
      <alignment horizontal="center" vertical="center" wrapText="1"/>
    </xf>
    <xf numFmtId="1" fontId="0" fillId="0" borderId="0" xfId="0" applyNumberFormat="1"/>
    <xf numFmtId="0" fontId="0" fillId="7" borderId="0" xfId="0" applyFill="1"/>
    <xf numFmtId="0" fontId="0" fillId="8" borderId="5" xfId="0" applyFill="1" applyBorder="1"/>
    <xf numFmtId="0" fontId="0" fillId="8" borderId="0" xfId="0" applyFill="1"/>
    <xf numFmtId="0" fontId="12" fillId="8" borderId="0" xfId="0" applyFont="1" applyFill="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0" fontId="13" fillId="8" borderId="3" xfId="0" applyFont="1" applyFill="1" applyBorder="1" applyAlignment="1">
      <alignment horizontal="center" vertical="center"/>
    </xf>
    <xf numFmtId="0" fontId="13" fillId="8" borderId="4"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0" xfId="0" applyFont="1" applyFill="1" applyAlignment="1">
      <alignment horizontal="center" vertical="center"/>
    </xf>
    <xf numFmtId="0" fontId="13" fillId="8" borderId="6" xfId="0" applyFont="1" applyFill="1" applyBorder="1" applyAlignment="1">
      <alignment horizontal="center" vertical="center"/>
    </xf>
    <xf numFmtId="0" fontId="13" fillId="8" borderId="7" xfId="0" applyFont="1" applyFill="1" applyBorder="1" applyAlignment="1">
      <alignment horizontal="center" vertical="center"/>
    </xf>
    <xf numFmtId="0" fontId="13" fillId="8" borderId="8" xfId="0" applyFont="1" applyFill="1" applyBorder="1" applyAlignment="1">
      <alignment horizontal="center" vertical="center"/>
    </xf>
    <xf numFmtId="0" fontId="13" fillId="8" borderId="9" xfId="0" applyFont="1" applyFill="1" applyBorder="1" applyAlignment="1">
      <alignment horizontal="center" vertical="center"/>
    </xf>
    <xf numFmtId="0" fontId="1" fillId="2" borderId="0" xfId="0" applyFont="1" applyFill="1" applyAlignment="1">
      <alignment horizontal="center" vertical="center" wrapText="1"/>
    </xf>
    <xf numFmtId="0" fontId="6" fillId="2" borderId="0" xfId="0" applyFont="1" applyFill="1" applyAlignment="1">
      <alignment horizontal="left" vertical="center" indent="1"/>
    </xf>
    <xf numFmtId="0" fontId="7" fillId="0" borderId="0" xfId="0" applyFont="1" applyAlignment="1">
      <alignment horizontal="left" vertical="center" indent="1"/>
    </xf>
    <xf numFmtId="0" fontId="5" fillId="3" borderId="1" xfId="0" applyFont="1" applyFill="1" applyBorder="1" applyAlignment="1">
      <alignment horizontal="center" vertical="center" wrapText="1"/>
    </xf>
    <xf numFmtId="0" fontId="5" fillId="5" borderId="0" xfId="0" applyFont="1" applyFill="1" applyAlignment="1">
      <alignment horizontal="left" vertical="center" indent="1"/>
    </xf>
    <xf numFmtId="0" fontId="10" fillId="2" borderId="0" xfId="0" applyFont="1" applyFill="1" applyAlignment="1">
      <alignment horizontal="center" vertical="center" wrapText="1"/>
    </xf>
    <xf numFmtId="0" fontId="11" fillId="6" borderId="1" xfId="0" applyFont="1" applyFill="1" applyBorder="1" applyAlignment="1">
      <alignment horizontal="right" vertical="center" wrapText="1"/>
    </xf>
    <xf numFmtId="0" fontId="16" fillId="8" borderId="2" xfId="0" applyFont="1" applyFill="1" applyBorder="1" applyAlignment="1">
      <alignment horizontal="center" vertical="center" wrapText="1"/>
    </xf>
  </cellXfs>
  <cellStyles count="1">
    <cellStyle name="Normal" xfId="0" builtinId="0"/>
  </cellStyles>
  <dxfs count="2">
    <dxf>
      <numFmt numFmtId="1" formatCode="0"/>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395"/>
      <rgbColor rgb="FF333333"/>
      <rgbColor rgb="00003366"/>
      <rgbColor rgb="00339966"/>
      <rgbColor rgb="00003300"/>
      <rgbColor rgb="00333300"/>
      <rgbColor rgb="00993300"/>
      <rgbColor rgb="00993366"/>
      <rgbColor rgb="00333399"/>
      <rgbColor rgb="00333333"/>
    </indexedColors>
    <mruColors>
      <color rgb="FF37441C"/>
      <color rgb="FF006600"/>
      <color rgb="FF283214"/>
      <color rgb="FF00AA48"/>
      <color rgb="FF989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pivotCacheDefinition" Target="pivotCache/pivotCacheDefinition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9.xml"/><Relationship Id="rId79" Type="http://schemas.openxmlformats.org/officeDocument/2006/relationships/pivotCacheDefinition" Target="pivotCache/pivotCacheDefinition14.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pivotCacheDefinition" Target="pivotCache/pivotCacheDefinition4.xml"/><Relationship Id="rId77" Type="http://schemas.openxmlformats.org/officeDocument/2006/relationships/pivotCacheDefinition" Target="pivotCache/pivotCacheDefinition1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7.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pivotCacheDefinition" Target="pivotCache/pivotCacheDefinition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5.xml"/><Relationship Id="rId75" Type="http://schemas.openxmlformats.org/officeDocument/2006/relationships/pivotCacheDefinition" Target="pivotCache/pivotCacheDefinition10.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pivotCacheDefinition" Target="pivotCache/pivotCacheDefinition8.xml"/><Relationship Id="rId78" Type="http://schemas.openxmlformats.org/officeDocument/2006/relationships/pivotCacheDefinition" Target="pivotCache/pivotCacheDefinition13.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pivotCacheDefinition" Target="pivotCache/pivotCacheDefinition11.xml"/><Relationship Id="rId7" Type="http://schemas.openxmlformats.org/officeDocument/2006/relationships/worksheet" Target="worksheets/sheet7.xml"/><Relationship Id="rId71" Type="http://schemas.openxmlformats.org/officeDocument/2006/relationships/pivotCacheDefinition" Target="pivotCache/pivotCacheDefinition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9652559055118112E-2"/>
              <c:y val="8.9355497229512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7.1552712160979873E-2"/>
              <c:y val="-8.0718503937007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5.9652559055118112E-2"/>
              <c:y val="8.9355497229512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552712160979873E-2"/>
              <c:y val="-8.0718503937007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9652559055118112E-2"/>
              <c:y val="8.9355497229512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1552712160979873E-2"/>
              <c:y val="-8.0718503937007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763059042326057E-2"/>
          <c:y val="0.31519869300334014"/>
          <c:w val="0.45192013820399829"/>
          <c:h val="0.67507376602928071"/>
        </c:manualLayout>
      </c:layout>
      <c:pieChart>
        <c:varyColors val="1"/>
        <c:ser>
          <c:idx val="0"/>
          <c:order val="0"/>
          <c:tx>
            <c:strRef>
              <c:f>Employee_Benefits_Tables!$E$5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6B-4C10-80C1-DF8CE20279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6B-4C10-80C1-DF8CE2027961}"/>
              </c:ext>
            </c:extLst>
          </c:dPt>
          <c:dLbls>
            <c:dLbl>
              <c:idx val="0"/>
              <c:layout>
                <c:manualLayout>
                  <c:x val="5.9652559055118112E-2"/>
                  <c:y val="8.93554972295129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6B-4C10-80C1-DF8CE2027961}"/>
                </c:ext>
              </c:extLst>
            </c:dLbl>
            <c:dLbl>
              <c:idx val="1"/>
              <c:layout>
                <c:manualLayout>
                  <c:x val="-7.1552712160979873E-2"/>
                  <c:y val="-8.07185039370078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6B-4C10-80C1-DF8CE20279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Employee_Benefits_Tables!$D$6:$D$8</c:f>
              <c:strCache>
                <c:ptCount val="2"/>
                <c:pt idx="0">
                  <c:v>Permanent Employees – Female</c:v>
                </c:pt>
                <c:pt idx="1">
                  <c:v>Permanent Employees – Male</c:v>
                </c:pt>
              </c:strCache>
            </c:strRef>
          </c:cat>
          <c:val>
            <c:numRef>
              <c:f>Employee_Benefits_Tables!$E$6:$E$8</c:f>
              <c:numCache>
                <c:formatCode>#,##0.##</c:formatCode>
                <c:ptCount val="2"/>
                <c:pt idx="0">
                  <c:v>2080</c:v>
                </c:pt>
                <c:pt idx="1">
                  <c:v>9362</c:v>
                </c:pt>
              </c:numCache>
            </c:numRef>
          </c:val>
          <c:extLst>
            <c:ext xmlns:c16="http://schemas.microsoft.com/office/drawing/2014/chart" uri="{C3380CC4-5D6E-409C-BE32-E72D297353CC}">
              <c16:uniqueId val="{00000004-216B-4C10-80C1-DF8CE20279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348988489866662"/>
          <c:y val="0.46734846750203041"/>
          <c:w val="0.34596860125033868"/>
          <c:h val="0.44838711004287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2216754155730533E-2"/>
              <c:y val="-2.1939705453484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3019685039370078E-2"/>
              <c:y val="-5.1598862642169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2216754155730533E-2"/>
              <c:y val="-2.1939705453484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3019685039370078E-2"/>
              <c:y val="-5.1598862642169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2216754155730533E-2"/>
              <c:y val="-2.1939705453484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3019685039370078E-2"/>
              <c:y val="-5.1598862642169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18321490301531E-2"/>
          <c:y val="0.34824288982571833"/>
          <c:w val="0.41734492029959669"/>
          <c:h val="0.60311198194922799"/>
        </c:manualLayout>
      </c:layout>
      <c:pieChart>
        <c:varyColors val="1"/>
        <c:ser>
          <c:idx val="0"/>
          <c:order val="0"/>
          <c:tx>
            <c:strRef>
              <c:f>Employee_Benefits_Tables!$G$5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DF-4203-B3C7-25FBD47953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DF-4203-B3C7-25FBD47953CA}"/>
              </c:ext>
            </c:extLst>
          </c:dPt>
          <c:dLbls>
            <c:dLbl>
              <c:idx val="0"/>
              <c:layout>
                <c:manualLayout>
                  <c:x val="3.2216754155730533E-2"/>
                  <c:y val="-2.19397054534849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DF-4203-B3C7-25FBD47953CA}"/>
                </c:ext>
              </c:extLst>
            </c:dLbl>
            <c:dLbl>
              <c:idx val="1"/>
              <c:layout>
                <c:manualLayout>
                  <c:x val="-1.3019685039370078E-2"/>
                  <c:y val="-5.15988626421697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DF-4203-B3C7-25FBD47953C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Employee_Benefits_Tables!$F$6:$F$8</c:f>
              <c:strCache>
                <c:ptCount val="2"/>
                <c:pt idx="0">
                  <c:v>Other Than Permanent Employees – Female</c:v>
                </c:pt>
                <c:pt idx="1">
                  <c:v>Other Than Permanent Employees – Male</c:v>
                </c:pt>
              </c:strCache>
            </c:strRef>
          </c:cat>
          <c:val>
            <c:numRef>
              <c:f>Employee_Benefits_Tables!$G$6:$G$8</c:f>
              <c:numCache>
                <c:formatCode>#,##0.##</c:formatCode>
                <c:ptCount val="2"/>
                <c:pt idx="0">
                  <c:v>196</c:v>
                </c:pt>
                <c:pt idx="1">
                  <c:v>440</c:v>
                </c:pt>
              </c:numCache>
            </c:numRef>
          </c:val>
          <c:extLst>
            <c:ext xmlns:c16="http://schemas.microsoft.com/office/drawing/2014/chart" uri="{C3380CC4-5D6E-409C-BE32-E72D297353CC}">
              <c16:uniqueId val="{00000004-3CDF-4203-B3C7-25FBD47953C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797420139555725"/>
          <c:y val="0.36996126558928205"/>
          <c:w val="0.3460142714640283"/>
          <c:h val="0.574632500132539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4.3537164237449036E-2"/>
              <c:y val="-0.30843821687643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5830680739375663E-2"/>
              <c:y val="-0.2087006840680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5830680739375663E-2"/>
              <c:y val="-0.2087006840680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3537164237449036E-2"/>
              <c:y val="-0.30843821687643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5830680739375663E-2"/>
              <c:y val="-0.2087006840680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3537164237449036E-2"/>
              <c:y val="-0.30843821687643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518534070993681E-2"/>
          <c:y val="0.29086096772395603"/>
          <c:w val="0.4106809167474571"/>
          <c:h val="0.59640870405437618"/>
        </c:manualLayout>
      </c:layout>
      <c:pieChart>
        <c:varyColors val="1"/>
        <c:ser>
          <c:idx val="0"/>
          <c:order val="0"/>
          <c:tx>
            <c:strRef>
              <c:f>Employee_Benefits_Tables!$D$23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1A-49D6-B8AC-746BFE6460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1A-49D6-B8AC-746BFE64602A}"/>
              </c:ext>
            </c:extLst>
          </c:dPt>
          <c:dLbls>
            <c:dLbl>
              <c:idx val="0"/>
              <c:layout>
                <c:manualLayout>
                  <c:x val="-2.5830680739375663E-2"/>
                  <c:y val="-0.208700684068034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A1A-49D6-B8AC-746BFE64602A}"/>
                </c:ext>
              </c:extLst>
            </c:dLbl>
            <c:dLbl>
              <c:idx val="1"/>
              <c:layout>
                <c:manualLayout>
                  <c:x val="4.3537164237449036E-2"/>
                  <c:y val="-0.3084382168764337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A1A-49D6-B8AC-746BFE6460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Employee_Benefits_Tables!$C$24:$C$26</c:f>
              <c:strCache>
                <c:ptCount val="2"/>
                <c:pt idx="0">
                  <c:v>Permanent Employees – Female</c:v>
                </c:pt>
                <c:pt idx="1">
                  <c:v>Permanent Employees – Male</c:v>
                </c:pt>
              </c:strCache>
            </c:strRef>
          </c:cat>
          <c:val>
            <c:numRef>
              <c:f>Employee_Benefits_Tables!$D$24:$D$26</c:f>
              <c:numCache>
                <c:formatCode>0.0%</c:formatCode>
                <c:ptCount val="2"/>
                <c:pt idx="0">
                  <c:v>1</c:v>
                </c:pt>
                <c:pt idx="1">
                  <c:v>1</c:v>
                </c:pt>
              </c:numCache>
            </c:numRef>
          </c:val>
          <c:extLst>
            <c:ext xmlns:c16="http://schemas.microsoft.com/office/drawing/2014/chart" uri="{C3380CC4-5D6E-409C-BE32-E72D297353CC}">
              <c16:uniqueId val="{00000004-5A1A-49D6-B8AC-746BFE6460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996904484079602"/>
          <c:y val="0.48537950615699571"/>
          <c:w val="0.3460142714640283"/>
          <c:h val="0.452893631734369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5.3688455528662027E-2"/>
              <c:y val="-0.3352566655106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470209463116724E-2"/>
              <c:y val="-0.20125667407397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470209463116724E-2"/>
              <c:y val="-0.20125667407397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3688455528662027E-2"/>
              <c:y val="-0.3352566655106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470209463116724E-2"/>
              <c:y val="-0.20125667407397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3688455528662027E-2"/>
              <c:y val="-0.3352566655106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91968257488946E-2"/>
          <c:y val="0.30932508436445444"/>
          <c:w val="0.43062148041353987"/>
          <c:h val="0.65515982377202853"/>
        </c:manualLayout>
      </c:layout>
      <c:pieChart>
        <c:varyColors val="1"/>
        <c:ser>
          <c:idx val="0"/>
          <c:order val="0"/>
          <c:tx>
            <c:strRef>
              <c:f>Employee_Benefits_Tables!$G$23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5-4C2E-A36A-42F962A815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5-4C2E-A36A-42F962A81587}"/>
              </c:ext>
            </c:extLst>
          </c:dPt>
          <c:dLbls>
            <c:dLbl>
              <c:idx val="0"/>
              <c:layout>
                <c:manualLayout>
                  <c:x val="-3.8470209463116724E-2"/>
                  <c:y val="-0.2012566740739789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C5-4C2E-A36A-42F962A81587}"/>
                </c:ext>
              </c:extLst>
            </c:dLbl>
            <c:dLbl>
              <c:idx val="1"/>
              <c:layout>
                <c:manualLayout>
                  <c:x val="5.3688455528662027E-2"/>
                  <c:y val="-0.335256665510612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C5-4C2E-A36A-42F962A815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Employee_Benefits_Tables!$F$24:$F$26</c:f>
              <c:strCache>
                <c:ptCount val="2"/>
                <c:pt idx="0">
                  <c:v>Other Than Permanent Employees – Female</c:v>
                </c:pt>
                <c:pt idx="1">
                  <c:v>Other Than Permanent Employees – Male</c:v>
                </c:pt>
              </c:strCache>
            </c:strRef>
          </c:cat>
          <c:val>
            <c:numRef>
              <c:f>Employee_Benefits_Tables!$G$24:$G$26</c:f>
              <c:numCache>
                <c:formatCode>0.0%</c:formatCode>
                <c:ptCount val="2"/>
                <c:pt idx="0">
                  <c:v>0.57999999999999996</c:v>
                </c:pt>
                <c:pt idx="1">
                  <c:v>0.67</c:v>
                </c:pt>
              </c:numCache>
            </c:numRef>
          </c:val>
          <c:extLst>
            <c:ext xmlns:c16="http://schemas.microsoft.com/office/drawing/2014/chart" uri="{C3380CC4-5D6E-409C-BE32-E72D297353CC}">
              <c16:uniqueId val="{00000004-71C5-4C2E-A36A-42F962A8158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789305386122506"/>
          <c:y val="0.38392575928008993"/>
          <c:w val="0.32342150012938525"/>
          <c:h val="0.589291338582677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[ITC_Social_Dataset_2026_Refi.xlsx]Worker_Benefits_Tables!PivotTable5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0346237970253665E-2"/>
              <c:y val="5.1820501603966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2149825021872265"/>
              <c:y val="-8.4297171186934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0346237970253665E-2"/>
              <c:y val="5.1820501603966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149825021872265"/>
              <c:y val="-8.4297171186934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0346237970253665E-2"/>
              <c:y val="5.1820501603966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149825021872265"/>
              <c:y val="-8.4297171186934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8117735283089"/>
          <c:y val="0.35428324119059579"/>
          <c:w val="0.41393075865516815"/>
          <c:h val="0.61649261927365473"/>
        </c:manualLayout>
      </c:layout>
      <c:pieChart>
        <c:varyColors val="1"/>
        <c:ser>
          <c:idx val="0"/>
          <c:order val="0"/>
          <c:tx>
            <c:strRef>
              <c:f>Worker_Benefits_Tables!$D$5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B7-4A05-84D1-7D24DE3CBC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B7-4A05-84D1-7D24DE3CBC83}"/>
              </c:ext>
            </c:extLst>
          </c:dPt>
          <c:dLbls>
            <c:dLbl>
              <c:idx val="0"/>
              <c:layout>
                <c:manualLayout>
                  <c:x val="9.0346237970253665E-2"/>
                  <c:y val="5.18205016039661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B7-4A05-84D1-7D24DE3CBC83}"/>
                </c:ext>
              </c:extLst>
            </c:dLbl>
            <c:dLbl>
              <c:idx val="1"/>
              <c:layout>
                <c:manualLayout>
                  <c:x val="-0.12149825021872265"/>
                  <c:y val="-8.42971711869349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B7-4A05-84D1-7D24DE3CBC8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Worker_Benefits_Tables!$C$6:$C$8</c:f>
              <c:strCache>
                <c:ptCount val="2"/>
                <c:pt idx="0">
                  <c:v>Permanent Workers – Female</c:v>
                </c:pt>
                <c:pt idx="1">
                  <c:v>Permanent Workers – Male</c:v>
                </c:pt>
              </c:strCache>
            </c:strRef>
          </c:cat>
          <c:val>
            <c:numRef>
              <c:f>Worker_Benefits_Tables!$D$6:$D$8</c:f>
              <c:numCache>
                <c:formatCode>#,##0.##</c:formatCode>
                <c:ptCount val="2"/>
                <c:pt idx="0">
                  <c:v>683</c:v>
                </c:pt>
                <c:pt idx="1">
                  <c:v>10368</c:v>
                </c:pt>
              </c:numCache>
            </c:numRef>
          </c:val>
          <c:extLst>
            <c:ext xmlns:c16="http://schemas.microsoft.com/office/drawing/2014/chart" uri="{C3380CC4-5D6E-409C-BE32-E72D297353CC}">
              <c16:uniqueId val="{00000004-0BB7-4A05-84D1-7D24DE3CBC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1818835145606799"/>
          <c:y val="0.54875746914614398"/>
          <c:w val="0.32625609298837643"/>
          <c:h val="0.328016976601329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[ITC_Social_Dataset_2026_Refi.xlsx]Worker_Benefits_Tables!PivotTable6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3703630796150479E-2"/>
              <c:y val="4.9315398075240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2546369203849531E-2"/>
              <c:y val="-4.128207932341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4.3703630796150479E-2"/>
              <c:y val="4.9315398075240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2.2546369203849531E-2"/>
              <c:y val="-4.128207932341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4.3703630796150479E-2"/>
              <c:y val="4.9315398075240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2546369203849531E-2"/>
              <c:y val="-4.128207932341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021795662639"/>
          <c:y val="0.39877716898290944"/>
          <c:w val="0.35735180279884371"/>
          <c:h val="0.53602770419826551"/>
        </c:manualLayout>
      </c:layout>
      <c:pieChart>
        <c:varyColors val="1"/>
        <c:ser>
          <c:idx val="0"/>
          <c:order val="0"/>
          <c:tx>
            <c:strRef>
              <c:f>Worker_Benefits_Tables!$F$5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54-4EB9-ACB6-7889B0FA57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54-4EB9-ACB6-7889B0FA579B}"/>
              </c:ext>
            </c:extLst>
          </c:dPt>
          <c:dLbls>
            <c:dLbl>
              <c:idx val="0"/>
              <c:layout>
                <c:manualLayout>
                  <c:x val="4.3703630796150479E-2"/>
                  <c:y val="4.93153980752405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54-4EB9-ACB6-7889B0FA579B}"/>
                </c:ext>
              </c:extLst>
            </c:dLbl>
            <c:dLbl>
              <c:idx val="1"/>
              <c:layout>
                <c:manualLayout>
                  <c:x val="-2.2546369203849531E-2"/>
                  <c:y val="-4.12820793234179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54-4EB9-ACB6-7889B0FA57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Worker_Benefits_Tables!$E$6:$E$8</c:f>
              <c:strCache>
                <c:ptCount val="2"/>
                <c:pt idx="0">
                  <c:v>Other than Permanent Workers – Female</c:v>
                </c:pt>
                <c:pt idx="1">
                  <c:v>Other than Permanent Workers – Male</c:v>
                </c:pt>
              </c:strCache>
            </c:strRef>
          </c:cat>
          <c:val>
            <c:numRef>
              <c:f>Worker_Benefits_Tables!$F$6:$F$8</c:f>
              <c:numCache>
                <c:formatCode>#,##0.##</c:formatCode>
                <c:ptCount val="2"/>
                <c:pt idx="0">
                  <c:v>4305</c:v>
                </c:pt>
                <c:pt idx="1">
                  <c:v>21203</c:v>
                </c:pt>
              </c:numCache>
            </c:numRef>
          </c:val>
          <c:extLst>
            <c:ext xmlns:c16="http://schemas.microsoft.com/office/drawing/2014/chart" uri="{C3380CC4-5D6E-409C-BE32-E72D297353CC}">
              <c16:uniqueId val="{00000004-8154-4EB9-ACB6-7889B0FA579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151100064104879"/>
          <c:y val="0.46698735721415097"/>
          <c:w val="0.34472555849873604"/>
          <c:h val="0.453349229233669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[ITC_Social_Dataset_2026_Refi.xlsx]Parental_Leave_Tables!PivotTable10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9492563429571"/>
          <c:y val="0.22222222222222221"/>
          <c:w val="0.50607961504811894"/>
          <c:h val="0.67037839020122481"/>
        </c:manualLayout>
      </c:layout>
      <c:barChart>
        <c:barDir val="col"/>
        <c:grouping val="clustered"/>
        <c:varyColors val="0"/>
        <c:ser>
          <c:idx val="0"/>
          <c:order val="0"/>
          <c:tx>
            <c:strRef>
              <c:f>Parental_Leave_Tables!$G$5</c:f>
              <c:strCache>
                <c:ptCount val="1"/>
                <c:pt idx="0">
                  <c:v>Return to Work Rates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Parental_Leave_Tables!$F$6:$F$8</c:f>
              <c:strCache>
                <c:ptCount val="2"/>
                <c:pt idx="0">
                  <c:v>Female</c:v>
                </c:pt>
                <c:pt idx="1">
                  <c:v>Male</c:v>
                </c:pt>
              </c:strCache>
            </c:strRef>
          </c:cat>
          <c:val>
            <c:numRef>
              <c:f>Parental_Leave_Tables!$G$6:$G$8</c:f>
              <c:numCache>
                <c:formatCode>0.0%</c:formatCode>
                <c:ptCount val="2"/>
                <c:pt idx="0">
                  <c:v>0.98</c:v>
                </c:pt>
                <c:pt idx="1">
                  <c:v>1</c:v>
                </c:pt>
              </c:numCache>
            </c:numRef>
          </c:val>
          <c:extLst>
            <c:ext xmlns:c16="http://schemas.microsoft.com/office/drawing/2014/chart" uri="{C3380CC4-5D6E-409C-BE32-E72D297353CC}">
              <c16:uniqueId val="{00000000-D258-4847-9AAA-652061699452}"/>
            </c:ext>
          </c:extLst>
        </c:ser>
        <c:ser>
          <c:idx val="1"/>
          <c:order val="1"/>
          <c:tx>
            <c:strRef>
              <c:f>Parental_Leave_Tables!$H$5</c:f>
              <c:strCache>
                <c:ptCount val="1"/>
                <c:pt idx="0">
                  <c:v> Retention Rates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Parental_Leave_Tables!$F$6:$F$8</c:f>
              <c:strCache>
                <c:ptCount val="2"/>
                <c:pt idx="0">
                  <c:v>Female</c:v>
                </c:pt>
                <c:pt idx="1">
                  <c:v>Male</c:v>
                </c:pt>
              </c:strCache>
            </c:strRef>
          </c:cat>
          <c:val>
            <c:numRef>
              <c:f>Parental_Leave_Tables!$H$6:$H$8</c:f>
              <c:numCache>
                <c:formatCode>0.0%</c:formatCode>
                <c:ptCount val="2"/>
                <c:pt idx="0">
                  <c:v>0.84</c:v>
                </c:pt>
                <c:pt idx="1">
                  <c:v>0.86</c:v>
                </c:pt>
              </c:numCache>
            </c:numRef>
          </c:val>
          <c:extLst>
            <c:ext xmlns:c16="http://schemas.microsoft.com/office/drawing/2014/chart" uri="{C3380CC4-5D6E-409C-BE32-E72D297353CC}">
              <c16:uniqueId val="{00000001-D258-4847-9AAA-652061699452}"/>
            </c:ext>
          </c:extLst>
        </c:ser>
        <c:dLbls>
          <c:dLblPos val="outEnd"/>
          <c:showLegendKey val="0"/>
          <c:showVal val="1"/>
          <c:showCatName val="0"/>
          <c:showSerName val="0"/>
          <c:showPercent val="0"/>
          <c:showBubbleSize val="0"/>
        </c:dLbls>
        <c:gapWidth val="219"/>
        <c:overlap val="-27"/>
        <c:axId val="1308997119"/>
        <c:axId val="1308995199"/>
      </c:barChart>
      <c:catAx>
        <c:axId val="130899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95199"/>
        <c:crosses val="autoZero"/>
        <c:auto val="1"/>
        <c:lblAlgn val="ctr"/>
        <c:lblOffset val="100"/>
        <c:noMultiLvlLbl val="0"/>
      </c:catAx>
      <c:valAx>
        <c:axId val="13089951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97119"/>
        <c:crosses val="autoZero"/>
        <c:crossBetween val="between"/>
      </c:valAx>
      <c:spPr>
        <a:noFill/>
        <a:ln>
          <a:noFill/>
        </a:ln>
        <a:effectLst/>
      </c:spPr>
    </c:plotArea>
    <c:legend>
      <c:legendPos val="r"/>
      <c:layout>
        <c:manualLayout>
          <c:xMode val="edge"/>
          <c:yMode val="edge"/>
          <c:x val="0.69111668487678624"/>
          <c:y val="0.54597772662228583"/>
          <c:w val="0.24719262631233596"/>
          <c:h val="0.15341016463851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[ITC_Social_Dataset_2026_Refi.xlsx]Training_Coverage_Tables!PivotTable11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52341589485225"/>
          <c:y val="0.30092592592592593"/>
          <c:w val="0.39998918956969459"/>
          <c:h val="0.59167468649752109"/>
        </c:manualLayout>
      </c:layout>
      <c:barChart>
        <c:barDir val="bar"/>
        <c:grouping val="clustered"/>
        <c:varyColors val="0"/>
        <c:ser>
          <c:idx val="0"/>
          <c:order val="0"/>
          <c:tx>
            <c:strRef>
              <c:f>Training_Coverage_Tables!$E$23</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Training_Coverage_Tables!$D$24:$D$28</c:f>
              <c:strCache>
                <c:ptCount val="4"/>
                <c:pt idx="0">
                  <c:v>Employees – Female</c:v>
                </c:pt>
                <c:pt idx="1">
                  <c:v>Employees – Male</c:v>
                </c:pt>
                <c:pt idx="2">
                  <c:v>Workers – Female</c:v>
                </c:pt>
                <c:pt idx="3">
                  <c:v>Workers – Male</c:v>
                </c:pt>
              </c:strCache>
            </c:strRef>
          </c:cat>
          <c:val>
            <c:numRef>
              <c:f>Training_Coverage_Tables!$E$24:$E$28</c:f>
              <c:numCache>
                <c:formatCode>0.0%</c:formatCode>
                <c:ptCount val="4"/>
                <c:pt idx="0">
                  <c:v>0.57999999999999996</c:v>
                </c:pt>
                <c:pt idx="1">
                  <c:v>0.7</c:v>
                </c:pt>
                <c:pt idx="2">
                  <c:v>0.9</c:v>
                </c:pt>
                <c:pt idx="3">
                  <c:v>0.8</c:v>
                </c:pt>
              </c:numCache>
            </c:numRef>
          </c:val>
          <c:extLst>
            <c:ext xmlns:c16="http://schemas.microsoft.com/office/drawing/2014/chart" uri="{C3380CC4-5D6E-409C-BE32-E72D297353CC}">
              <c16:uniqueId val="{00000000-209F-4E84-A424-702C9283D31F}"/>
            </c:ext>
          </c:extLst>
        </c:ser>
        <c:ser>
          <c:idx val="1"/>
          <c:order val="1"/>
          <c:tx>
            <c:strRef>
              <c:f>Training_Coverage_Tables!$F$23</c:f>
              <c:strCache>
                <c:ptCount val="1"/>
                <c:pt idx="0">
                  <c:v> 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Training_Coverage_Tables!$D$24:$D$28</c:f>
              <c:strCache>
                <c:ptCount val="4"/>
                <c:pt idx="0">
                  <c:v>Employees – Female</c:v>
                </c:pt>
                <c:pt idx="1">
                  <c:v>Employees – Male</c:v>
                </c:pt>
                <c:pt idx="2">
                  <c:v>Workers – Female</c:v>
                </c:pt>
                <c:pt idx="3">
                  <c:v>Workers – Male</c:v>
                </c:pt>
              </c:strCache>
            </c:strRef>
          </c:cat>
          <c:val>
            <c:numRef>
              <c:f>Training_Coverage_Tables!$F$24:$F$28</c:f>
              <c:numCache>
                <c:formatCode>0.0%</c:formatCode>
                <c:ptCount val="4"/>
                <c:pt idx="0">
                  <c:v>0.33</c:v>
                </c:pt>
                <c:pt idx="1">
                  <c:v>0.4</c:v>
                </c:pt>
                <c:pt idx="2">
                  <c:v>0.94</c:v>
                </c:pt>
                <c:pt idx="3">
                  <c:v>0.59</c:v>
                </c:pt>
              </c:numCache>
            </c:numRef>
          </c:val>
          <c:extLst>
            <c:ext xmlns:c16="http://schemas.microsoft.com/office/drawing/2014/chart" uri="{C3380CC4-5D6E-409C-BE32-E72D297353CC}">
              <c16:uniqueId val="{00000001-209F-4E84-A424-702C9283D31F}"/>
            </c:ext>
          </c:extLst>
        </c:ser>
        <c:dLbls>
          <c:dLblPos val="outEnd"/>
          <c:showLegendKey val="0"/>
          <c:showVal val="1"/>
          <c:showCatName val="0"/>
          <c:showSerName val="0"/>
          <c:showPercent val="0"/>
          <c:showBubbleSize val="0"/>
        </c:dLbls>
        <c:gapWidth val="182"/>
        <c:axId val="1369273327"/>
        <c:axId val="1369272847"/>
      </c:barChart>
      <c:catAx>
        <c:axId val="13692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72847"/>
        <c:crosses val="autoZero"/>
        <c:auto val="1"/>
        <c:lblAlgn val="ctr"/>
        <c:lblOffset val="100"/>
        <c:noMultiLvlLbl val="0"/>
      </c:catAx>
      <c:valAx>
        <c:axId val="13692728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7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[ITC_Social_Dataset_2026_Refi.xlsx]Training_Coverage_Tables!PivotTable12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27537182852144"/>
          <c:y val="0.31944444444444442"/>
          <c:w val="0.48432392825896764"/>
          <c:h val="0.57315616797900248"/>
        </c:manualLayout>
      </c:layout>
      <c:barChart>
        <c:barDir val="bar"/>
        <c:grouping val="clustered"/>
        <c:varyColors val="0"/>
        <c:ser>
          <c:idx val="0"/>
          <c:order val="0"/>
          <c:tx>
            <c:strRef>
              <c:f>Training_Coverage_Tables!$G$40</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Training_Coverage_Tables!$F$41:$F$45</c:f>
              <c:strCache>
                <c:ptCount val="4"/>
                <c:pt idx="0">
                  <c:v>Employees – Female</c:v>
                </c:pt>
                <c:pt idx="1">
                  <c:v>Employees – Male</c:v>
                </c:pt>
                <c:pt idx="2">
                  <c:v>Workers – Female</c:v>
                </c:pt>
                <c:pt idx="3">
                  <c:v>Workers – Male</c:v>
                </c:pt>
              </c:strCache>
            </c:strRef>
          </c:cat>
          <c:val>
            <c:numRef>
              <c:f>Training_Coverage_Tables!$G$41:$G$45</c:f>
              <c:numCache>
                <c:formatCode>0.0%</c:formatCode>
                <c:ptCount val="4"/>
                <c:pt idx="0">
                  <c:v>0.51</c:v>
                </c:pt>
                <c:pt idx="1">
                  <c:v>0.63</c:v>
                </c:pt>
                <c:pt idx="2">
                  <c:v>0.55000000000000004</c:v>
                </c:pt>
                <c:pt idx="3">
                  <c:v>0.42</c:v>
                </c:pt>
              </c:numCache>
            </c:numRef>
          </c:val>
          <c:extLst>
            <c:ext xmlns:c16="http://schemas.microsoft.com/office/drawing/2014/chart" uri="{C3380CC4-5D6E-409C-BE32-E72D297353CC}">
              <c16:uniqueId val="{00000000-3A38-4A85-ABCD-A0D2D380727D}"/>
            </c:ext>
          </c:extLst>
        </c:ser>
        <c:ser>
          <c:idx val="1"/>
          <c:order val="1"/>
          <c:tx>
            <c:strRef>
              <c:f>Training_Coverage_Tables!$H$40</c:f>
              <c:strCache>
                <c:ptCount val="1"/>
                <c:pt idx="0">
                  <c:v> 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Training_Coverage_Tables!$F$41:$F$45</c:f>
              <c:strCache>
                <c:ptCount val="4"/>
                <c:pt idx="0">
                  <c:v>Employees – Female</c:v>
                </c:pt>
                <c:pt idx="1">
                  <c:v>Employees – Male</c:v>
                </c:pt>
                <c:pt idx="2">
                  <c:v>Workers – Female</c:v>
                </c:pt>
                <c:pt idx="3">
                  <c:v>Workers – Male</c:v>
                </c:pt>
              </c:strCache>
            </c:strRef>
          </c:cat>
          <c:val>
            <c:numRef>
              <c:f>Training_Coverage_Tables!$H$41:$H$45</c:f>
              <c:numCache>
                <c:formatCode>0.0%</c:formatCode>
                <c:ptCount val="4"/>
                <c:pt idx="0">
                  <c:v>0.76</c:v>
                </c:pt>
                <c:pt idx="1">
                  <c:v>0.74</c:v>
                </c:pt>
                <c:pt idx="2">
                  <c:v>0.42</c:v>
                </c:pt>
                <c:pt idx="3">
                  <c:v>0.48</c:v>
                </c:pt>
              </c:numCache>
            </c:numRef>
          </c:val>
          <c:extLst>
            <c:ext xmlns:c16="http://schemas.microsoft.com/office/drawing/2014/chart" uri="{C3380CC4-5D6E-409C-BE32-E72D297353CC}">
              <c16:uniqueId val="{00000001-3A38-4A85-ABCD-A0D2D380727D}"/>
            </c:ext>
          </c:extLst>
        </c:ser>
        <c:dLbls>
          <c:dLblPos val="outEnd"/>
          <c:showLegendKey val="0"/>
          <c:showVal val="1"/>
          <c:showCatName val="0"/>
          <c:showSerName val="0"/>
          <c:showPercent val="0"/>
          <c:showBubbleSize val="0"/>
        </c:dLbls>
        <c:gapWidth val="182"/>
        <c:axId val="1510408303"/>
        <c:axId val="1510407343"/>
      </c:barChart>
      <c:catAx>
        <c:axId val="151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7343"/>
        <c:crosses val="autoZero"/>
        <c:auto val="1"/>
        <c:lblAlgn val="ctr"/>
        <c:lblOffset val="100"/>
        <c:noMultiLvlLbl val="0"/>
      </c:catAx>
      <c:valAx>
        <c:axId val="15104073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[ITC_Social_Dataset_2026_Refi.xlsx]Performance_Reviews_Tables!PivotTable13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27537182852144"/>
          <c:y val="0.35648148148148145"/>
          <c:w val="0.47799059492563428"/>
          <c:h val="0.53611913094196573"/>
        </c:manualLayout>
      </c:layout>
      <c:barChart>
        <c:barDir val="bar"/>
        <c:grouping val="clustered"/>
        <c:varyColors val="0"/>
        <c:ser>
          <c:idx val="0"/>
          <c:order val="0"/>
          <c:tx>
            <c:strRef>
              <c:f>Performance_Reviews_Tables!$E$23</c:f>
              <c:strCache>
                <c:ptCount val="1"/>
                <c:pt idx="0">
                  <c:v> 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Performance_Reviews_Tables!$D$24:$D$28</c:f>
              <c:strCache>
                <c:ptCount val="4"/>
                <c:pt idx="0">
                  <c:v>Employees – Female</c:v>
                </c:pt>
                <c:pt idx="1">
                  <c:v>Employees – Male</c:v>
                </c:pt>
                <c:pt idx="2">
                  <c:v>Workers – Female</c:v>
                </c:pt>
                <c:pt idx="3">
                  <c:v>Workers – Male</c:v>
                </c:pt>
              </c:strCache>
            </c:strRef>
          </c:cat>
          <c:val>
            <c:numRef>
              <c:f>Performance_Reviews_Tables!$E$24:$E$28</c:f>
              <c:numCache>
                <c:formatCode>0.0%</c:formatCode>
                <c:ptCount val="4"/>
                <c:pt idx="0">
                  <c:v>1</c:v>
                </c:pt>
                <c:pt idx="1">
                  <c:v>1</c:v>
                </c:pt>
                <c:pt idx="2">
                  <c:v>0.98</c:v>
                </c:pt>
                <c:pt idx="3">
                  <c:v>0.79</c:v>
                </c:pt>
              </c:numCache>
            </c:numRef>
          </c:val>
          <c:extLst>
            <c:ext xmlns:c16="http://schemas.microsoft.com/office/drawing/2014/chart" uri="{C3380CC4-5D6E-409C-BE32-E72D297353CC}">
              <c16:uniqueId val="{00000000-15E5-4D32-9F50-7403B0A15933}"/>
            </c:ext>
          </c:extLst>
        </c:ser>
        <c:ser>
          <c:idx val="1"/>
          <c:order val="1"/>
          <c:tx>
            <c:strRef>
              <c:f>Performance_Reviews_Tables!$F$23</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Performance_Reviews_Tables!$D$24:$D$28</c:f>
              <c:strCache>
                <c:ptCount val="4"/>
                <c:pt idx="0">
                  <c:v>Employees – Female</c:v>
                </c:pt>
                <c:pt idx="1">
                  <c:v>Employees – Male</c:v>
                </c:pt>
                <c:pt idx="2">
                  <c:v>Workers – Female</c:v>
                </c:pt>
                <c:pt idx="3">
                  <c:v>Workers – Male</c:v>
                </c:pt>
              </c:strCache>
            </c:strRef>
          </c:cat>
          <c:val>
            <c:numRef>
              <c:f>Performance_Reviews_Tables!$F$24:$F$28</c:f>
              <c:numCache>
                <c:formatCode>0.0%</c:formatCode>
                <c:ptCount val="4"/>
                <c:pt idx="0">
                  <c:v>1</c:v>
                </c:pt>
                <c:pt idx="1">
                  <c:v>1</c:v>
                </c:pt>
                <c:pt idx="2">
                  <c:v>0.98</c:v>
                </c:pt>
                <c:pt idx="3">
                  <c:v>0.77</c:v>
                </c:pt>
              </c:numCache>
            </c:numRef>
          </c:val>
          <c:extLst>
            <c:ext xmlns:c16="http://schemas.microsoft.com/office/drawing/2014/chart" uri="{C3380CC4-5D6E-409C-BE32-E72D297353CC}">
              <c16:uniqueId val="{00000001-15E5-4D32-9F50-7403B0A15933}"/>
            </c:ext>
          </c:extLst>
        </c:ser>
        <c:dLbls>
          <c:dLblPos val="outEnd"/>
          <c:showLegendKey val="0"/>
          <c:showVal val="1"/>
          <c:showCatName val="0"/>
          <c:showSerName val="0"/>
          <c:showPercent val="0"/>
          <c:showBubbleSize val="0"/>
        </c:dLbls>
        <c:gapWidth val="219"/>
        <c:axId val="1518808863"/>
        <c:axId val="1518476927"/>
      </c:barChart>
      <c:catAx>
        <c:axId val="151880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76927"/>
        <c:crosses val="autoZero"/>
        <c:auto val="1"/>
        <c:lblAlgn val="ctr"/>
        <c:lblOffset val="100"/>
        <c:noMultiLvlLbl val="0"/>
      </c:catAx>
      <c:valAx>
        <c:axId val="15184769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0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[ITC_Social_Dataset_2026_Refi.xlsx]Safety_Incidents_Tables!PivotTable14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429473255498243"/>
          <c:y val="0.20987654320987653"/>
          <c:w val="0.41873450085980629"/>
          <c:h val="0.7185238650724215"/>
        </c:manualLayout>
      </c:layout>
      <c:barChart>
        <c:barDir val="bar"/>
        <c:grouping val="clustered"/>
        <c:varyColors val="0"/>
        <c:ser>
          <c:idx val="0"/>
          <c:order val="0"/>
          <c:tx>
            <c:strRef>
              <c:f>Safety_Incidents_Tables!$F$5</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Safety_Incidents_Tables!$E$6:$E$14</c:f>
              <c:strCache>
                <c:ptCount val="8"/>
                <c:pt idx="0">
                  <c:v>High consequence work-related injury or ill-health (excluding fatalities) – Employees</c:v>
                </c:pt>
                <c:pt idx="1">
                  <c:v>High consequence work-related injury or ill-health (excluding fatalities) – Workers</c:v>
                </c:pt>
                <c:pt idx="2">
                  <c:v>Lost Time Injury Frequency Rate (LTIFR) (per one million-person hours worked) – Employees</c:v>
                </c:pt>
                <c:pt idx="3">
                  <c:v>Lost Time Injury Frequency Rate (LTIFR) (per one million-person hours worked) – Workers</c:v>
                </c:pt>
                <c:pt idx="4">
                  <c:v>No. of fatalities – Employees</c:v>
                </c:pt>
                <c:pt idx="5">
                  <c:v>No. of fatalities – Workers</c:v>
                </c:pt>
                <c:pt idx="6">
                  <c:v>Total recordable work-related injuries – Employees</c:v>
                </c:pt>
                <c:pt idx="7">
                  <c:v>Total recordable work-related injuries – Workers</c:v>
                </c:pt>
              </c:strCache>
            </c:strRef>
          </c:cat>
          <c:val>
            <c:numRef>
              <c:f>Safety_Incidents_Tables!$F$6:$F$14</c:f>
              <c:numCache>
                <c:formatCode>#,##0.##</c:formatCode>
                <c:ptCount val="8"/>
                <c:pt idx="0">
                  <c:v>0</c:v>
                </c:pt>
                <c:pt idx="1">
                  <c:v>0</c:v>
                </c:pt>
                <c:pt idx="2">
                  <c:v>0.02</c:v>
                </c:pt>
                <c:pt idx="3">
                  <c:v>0.06</c:v>
                </c:pt>
                <c:pt idx="4">
                  <c:v>0</c:v>
                </c:pt>
                <c:pt idx="5">
                  <c:v>1</c:v>
                </c:pt>
                <c:pt idx="6">
                  <c:v>1</c:v>
                </c:pt>
                <c:pt idx="7">
                  <c:v>4</c:v>
                </c:pt>
              </c:numCache>
            </c:numRef>
          </c:val>
          <c:extLst>
            <c:ext xmlns:c16="http://schemas.microsoft.com/office/drawing/2014/chart" uri="{C3380CC4-5D6E-409C-BE32-E72D297353CC}">
              <c16:uniqueId val="{00000000-2452-4B2F-B06B-FB03B3BABB18}"/>
            </c:ext>
          </c:extLst>
        </c:ser>
        <c:ser>
          <c:idx val="1"/>
          <c:order val="1"/>
          <c:tx>
            <c:strRef>
              <c:f>Safety_Incidents_Tables!$G$5</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Safety_Incidents_Tables!$E$6:$E$14</c:f>
              <c:strCache>
                <c:ptCount val="8"/>
                <c:pt idx="0">
                  <c:v>High consequence work-related injury or ill-health (excluding fatalities) – Employees</c:v>
                </c:pt>
                <c:pt idx="1">
                  <c:v>High consequence work-related injury or ill-health (excluding fatalities) – Workers</c:v>
                </c:pt>
                <c:pt idx="2">
                  <c:v>Lost Time Injury Frequency Rate (LTIFR) (per one million-person hours worked) – Employees</c:v>
                </c:pt>
                <c:pt idx="3">
                  <c:v>Lost Time Injury Frequency Rate (LTIFR) (per one million-person hours worked) – Workers</c:v>
                </c:pt>
                <c:pt idx="4">
                  <c:v>No. of fatalities – Employees</c:v>
                </c:pt>
                <c:pt idx="5">
                  <c:v>No. of fatalities – Workers</c:v>
                </c:pt>
                <c:pt idx="6">
                  <c:v>Total recordable work-related injuries – Employees</c:v>
                </c:pt>
                <c:pt idx="7">
                  <c:v>Total recordable work-related injuries – Workers</c:v>
                </c:pt>
              </c:strCache>
            </c:strRef>
          </c:cat>
          <c:val>
            <c:numRef>
              <c:f>Safety_Incidents_Tables!$G$6:$G$14</c:f>
              <c:numCache>
                <c:formatCode>#,##0.##</c:formatCode>
                <c:ptCount val="8"/>
                <c:pt idx="0">
                  <c:v>0</c:v>
                </c:pt>
                <c:pt idx="1">
                  <c:v>0</c:v>
                </c:pt>
                <c:pt idx="2">
                  <c:v>0.04</c:v>
                </c:pt>
                <c:pt idx="3">
                  <c:v>0.16</c:v>
                </c:pt>
                <c:pt idx="4">
                  <c:v>0</c:v>
                </c:pt>
                <c:pt idx="5">
                  <c:v>2</c:v>
                </c:pt>
                <c:pt idx="6">
                  <c:v>2</c:v>
                </c:pt>
                <c:pt idx="7">
                  <c:v>11</c:v>
                </c:pt>
              </c:numCache>
            </c:numRef>
          </c:val>
          <c:extLst>
            <c:ext xmlns:c16="http://schemas.microsoft.com/office/drawing/2014/chart" uri="{C3380CC4-5D6E-409C-BE32-E72D297353CC}">
              <c16:uniqueId val="{00000001-2452-4B2F-B06B-FB03B3BABB18}"/>
            </c:ext>
          </c:extLst>
        </c:ser>
        <c:dLbls>
          <c:dLblPos val="outEnd"/>
          <c:showLegendKey val="0"/>
          <c:showVal val="1"/>
          <c:showCatName val="0"/>
          <c:showSerName val="0"/>
          <c:showPercent val="0"/>
          <c:showBubbleSize val="0"/>
        </c:dLbls>
        <c:gapWidth val="182"/>
        <c:axId val="1704903359"/>
        <c:axId val="1704913919"/>
      </c:barChart>
      <c:catAx>
        <c:axId val="170490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13919"/>
        <c:crosses val="autoZero"/>
        <c:auto val="1"/>
        <c:lblAlgn val="ctr"/>
        <c:lblOffset val="100"/>
        <c:noMultiLvlLbl val="0"/>
      </c:catAx>
      <c:valAx>
        <c:axId val="1704913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[ITC_Social_Dataset_2026_Refi.xlsx]Gender_Pay_Gap_Tables!PivotTable17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30273763806246"/>
          <c:y val="0.31018518518518517"/>
          <c:w val="0.35164246218726986"/>
          <c:h val="0.5824154272382619"/>
        </c:manualLayout>
      </c:layout>
      <c:barChart>
        <c:barDir val="bar"/>
        <c:grouping val="clustered"/>
        <c:varyColors val="0"/>
        <c:ser>
          <c:idx val="0"/>
          <c:order val="0"/>
          <c:tx>
            <c:strRef>
              <c:f>Gender_Pay_Gap_Tables!$E$4</c:f>
              <c:strCache>
                <c:ptCount val="1"/>
                <c:pt idx="0">
                  <c:v>Sum of FY 2025-26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Gender_Pay_Gap_Tables!$D$5:$D$6</c:f>
              <c:strCache>
                <c:ptCount val="1"/>
                <c:pt idx="0">
                  <c:v>Gross wages paid to females as % of total wages paid</c:v>
                </c:pt>
              </c:strCache>
            </c:strRef>
          </c:cat>
          <c:val>
            <c:numRef>
              <c:f>Gender_Pay_Gap_Tables!$E$5:$E$6</c:f>
              <c:numCache>
                <c:formatCode>0.0%</c:formatCode>
                <c:ptCount val="1"/>
                <c:pt idx="0">
                  <c:v>0.11</c:v>
                </c:pt>
              </c:numCache>
            </c:numRef>
          </c:val>
          <c:extLst>
            <c:ext xmlns:c16="http://schemas.microsoft.com/office/drawing/2014/chart" uri="{C3380CC4-5D6E-409C-BE32-E72D297353CC}">
              <c16:uniqueId val="{00000000-3E17-4D72-8059-ED617E98E43D}"/>
            </c:ext>
          </c:extLst>
        </c:ser>
        <c:ser>
          <c:idx val="1"/>
          <c:order val="1"/>
          <c:tx>
            <c:strRef>
              <c:f>Gender_Pay_Gap_Tables!$F$4</c:f>
              <c:strCache>
                <c:ptCount val="1"/>
                <c:pt idx="0">
                  <c:v>Sum of FY 2024-25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Gender_Pay_Gap_Tables!$D$5:$D$6</c:f>
              <c:strCache>
                <c:ptCount val="1"/>
                <c:pt idx="0">
                  <c:v>Gross wages paid to females as % of total wages paid</c:v>
                </c:pt>
              </c:strCache>
            </c:strRef>
          </c:cat>
          <c:val>
            <c:numRef>
              <c:f>Gender_Pay_Gap_Tables!$F$5:$F$6</c:f>
              <c:numCache>
                <c:formatCode>0.0%</c:formatCode>
                <c:ptCount val="1"/>
                <c:pt idx="0">
                  <c:v>0.1</c:v>
                </c:pt>
              </c:numCache>
            </c:numRef>
          </c:val>
          <c:extLst>
            <c:ext xmlns:c16="http://schemas.microsoft.com/office/drawing/2014/chart" uri="{C3380CC4-5D6E-409C-BE32-E72D297353CC}">
              <c16:uniqueId val="{00000001-3E17-4D72-8059-ED617E98E43D}"/>
            </c:ext>
          </c:extLst>
        </c:ser>
        <c:dLbls>
          <c:dLblPos val="outEnd"/>
          <c:showLegendKey val="0"/>
          <c:showVal val="1"/>
          <c:showCatName val="0"/>
          <c:showSerName val="0"/>
          <c:showPercent val="0"/>
          <c:showBubbleSize val="0"/>
        </c:dLbls>
        <c:gapWidth val="219"/>
        <c:axId val="1702057615"/>
        <c:axId val="1702059055"/>
      </c:barChart>
      <c:catAx>
        <c:axId val="170205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059055"/>
        <c:crosses val="autoZero"/>
        <c:auto val="1"/>
        <c:lblAlgn val="ctr"/>
        <c:lblOffset val="100"/>
        <c:noMultiLvlLbl val="0"/>
      </c:catAx>
      <c:valAx>
        <c:axId val="170205905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05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[ITC_Social_Dataset_2026_Refi.xlsx]Sourcing_by_Location_Tables!PivotTable18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4066082672487"/>
          <c:y val="0.25925925925925924"/>
          <c:w val="0.57521507851249942"/>
          <c:h val="0.63334135316418771"/>
        </c:manualLayout>
      </c:layout>
      <c:barChart>
        <c:barDir val="bar"/>
        <c:grouping val="clustered"/>
        <c:varyColors val="0"/>
        <c:ser>
          <c:idx val="0"/>
          <c:order val="0"/>
          <c:tx>
            <c:strRef>
              <c:f>Sourcing_by_Location_Tables!$F$5</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Sourcing_by_Location_Tables!$E$6:$E$10</c:f>
              <c:strCache>
                <c:ptCount val="4"/>
                <c:pt idx="0">
                  <c:v>Metropolitan</c:v>
                </c:pt>
                <c:pt idx="1">
                  <c:v>Rural</c:v>
                </c:pt>
                <c:pt idx="2">
                  <c:v>Semi-urban</c:v>
                </c:pt>
                <c:pt idx="3">
                  <c:v>Urban</c:v>
                </c:pt>
              </c:strCache>
            </c:strRef>
          </c:cat>
          <c:val>
            <c:numRef>
              <c:f>Sourcing_by_Location_Tables!$F$6:$F$10</c:f>
              <c:numCache>
                <c:formatCode>0.0%</c:formatCode>
                <c:ptCount val="4"/>
                <c:pt idx="0">
                  <c:v>0.56999999999999995</c:v>
                </c:pt>
                <c:pt idx="1">
                  <c:v>0.15</c:v>
                </c:pt>
                <c:pt idx="2">
                  <c:v>0.1</c:v>
                </c:pt>
                <c:pt idx="3">
                  <c:v>0.18</c:v>
                </c:pt>
              </c:numCache>
            </c:numRef>
          </c:val>
          <c:extLst>
            <c:ext xmlns:c16="http://schemas.microsoft.com/office/drawing/2014/chart" uri="{C3380CC4-5D6E-409C-BE32-E72D297353CC}">
              <c16:uniqueId val="{00000000-CE85-4665-AA3A-087ED2EE006D}"/>
            </c:ext>
          </c:extLst>
        </c:ser>
        <c:ser>
          <c:idx val="1"/>
          <c:order val="1"/>
          <c:tx>
            <c:strRef>
              <c:f>Sourcing_by_Location_Tables!$G$5</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Sourcing_by_Location_Tables!$E$6:$E$10</c:f>
              <c:strCache>
                <c:ptCount val="4"/>
                <c:pt idx="0">
                  <c:v>Metropolitan</c:v>
                </c:pt>
                <c:pt idx="1">
                  <c:v>Rural</c:v>
                </c:pt>
                <c:pt idx="2">
                  <c:v>Semi-urban</c:v>
                </c:pt>
                <c:pt idx="3">
                  <c:v>Urban</c:v>
                </c:pt>
              </c:strCache>
            </c:strRef>
          </c:cat>
          <c:val>
            <c:numRef>
              <c:f>Sourcing_by_Location_Tables!$G$6:$G$10</c:f>
              <c:numCache>
                <c:formatCode>0.0%</c:formatCode>
                <c:ptCount val="4"/>
                <c:pt idx="0">
                  <c:v>0.57999999999999996</c:v>
                </c:pt>
                <c:pt idx="1">
                  <c:v>0.15</c:v>
                </c:pt>
                <c:pt idx="2">
                  <c:v>0.1</c:v>
                </c:pt>
                <c:pt idx="3">
                  <c:v>0.17</c:v>
                </c:pt>
              </c:numCache>
            </c:numRef>
          </c:val>
          <c:extLst>
            <c:ext xmlns:c16="http://schemas.microsoft.com/office/drawing/2014/chart" uri="{C3380CC4-5D6E-409C-BE32-E72D297353CC}">
              <c16:uniqueId val="{00000001-CE85-4665-AA3A-087ED2EE006D}"/>
            </c:ext>
          </c:extLst>
        </c:ser>
        <c:dLbls>
          <c:dLblPos val="outEnd"/>
          <c:showLegendKey val="0"/>
          <c:showVal val="1"/>
          <c:showCatName val="0"/>
          <c:showSerName val="0"/>
          <c:showPercent val="0"/>
          <c:showBubbleSize val="0"/>
        </c:dLbls>
        <c:gapWidth val="182"/>
        <c:axId val="1705387151"/>
        <c:axId val="1705396271"/>
      </c:barChart>
      <c:catAx>
        <c:axId val="170538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96271"/>
        <c:crosses val="autoZero"/>
        <c:auto val="1"/>
        <c:lblAlgn val="ctr"/>
        <c:lblOffset val="100"/>
        <c:noMultiLvlLbl val="0"/>
      </c:catAx>
      <c:valAx>
        <c:axId val="17053962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[ITC_Social_Dataset_2026_Refi.xlsx]Sourcing_MSME_India_Tables!PivotTable19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2771216097988"/>
          <c:y val="0.24537037037037038"/>
          <c:w val="0.42698884514435698"/>
          <c:h val="0.64723024205307667"/>
        </c:manualLayout>
      </c:layout>
      <c:barChart>
        <c:barDir val="bar"/>
        <c:grouping val="clustered"/>
        <c:varyColors val="0"/>
        <c:ser>
          <c:idx val="0"/>
          <c:order val="0"/>
          <c:tx>
            <c:strRef>
              <c:f>Sourcing_MSME_India_Tables!$F$5</c:f>
              <c:strCache>
                <c:ptCount val="1"/>
                <c:pt idx="0">
                  <c:v> 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Sourcing_MSME_India_Tables!$E$6:$E$8</c:f>
              <c:strCache>
                <c:ptCount val="2"/>
                <c:pt idx="0">
                  <c:v>Directly from within India</c:v>
                </c:pt>
                <c:pt idx="1">
                  <c:v>Directly sourced from MSMEs/small producers</c:v>
                </c:pt>
              </c:strCache>
            </c:strRef>
          </c:cat>
          <c:val>
            <c:numRef>
              <c:f>Sourcing_MSME_India_Tables!$F$6:$F$8</c:f>
              <c:numCache>
                <c:formatCode>0.0%</c:formatCode>
                <c:ptCount val="2"/>
                <c:pt idx="0">
                  <c:v>0.92589999999999995</c:v>
                </c:pt>
                <c:pt idx="1">
                  <c:v>0.32379999999999998</c:v>
                </c:pt>
              </c:numCache>
            </c:numRef>
          </c:val>
          <c:extLst>
            <c:ext xmlns:c16="http://schemas.microsoft.com/office/drawing/2014/chart" uri="{C3380CC4-5D6E-409C-BE32-E72D297353CC}">
              <c16:uniqueId val="{00000000-4423-423A-B526-91E4C8795140}"/>
            </c:ext>
          </c:extLst>
        </c:ser>
        <c:ser>
          <c:idx val="1"/>
          <c:order val="1"/>
          <c:tx>
            <c:strRef>
              <c:f>Sourcing_MSME_India_Tables!$G$5</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Sourcing_MSME_India_Tables!$E$6:$E$8</c:f>
              <c:strCache>
                <c:ptCount val="2"/>
                <c:pt idx="0">
                  <c:v>Directly from within India</c:v>
                </c:pt>
                <c:pt idx="1">
                  <c:v>Directly sourced from MSMEs/small producers</c:v>
                </c:pt>
              </c:strCache>
            </c:strRef>
          </c:cat>
          <c:val>
            <c:numRef>
              <c:f>Sourcing_MSME_India_Tables!$G$6:$G$8</c:f>
              <c:numCache>
                <c:formatCode>0.0%</c:formatCode>
                <c:ptCount val="2"/>
                <c:pt idx="0">
                  <c:v>0.92859999999999998</c:v>
                </c:pt>
                <c:pt idx="1">
                  <c:v>0.29720000000000002</c:v>
                </c:pt>
              </c:numCache>
            </c:numRef>
          </c:val>
          <c:extLst>
            <c:ext xmlns:c16="http://schemas.microsoft.com/office/drawing/2014/chart" uri="{C3380CC4-5D6E-409C-BE32-E72D297353CC}">
              <c16:uniqueId val="{00000001-4423-423A-B526-91E4C8795140}"/>
            </c:ext>
          </c:extLst>
        </c:ser>
        <c:dLbls>
          <c:dLblPos val="outEnd"/>
          <c:showLegendKey val="0"/>
          <c:showVal val="1"/>
          <c:showCatName val="0"/>
          <c:showSerName val="0"/>
          <c:showPercent val="0"/>
          <c:showBubbleSize val="0"/>
        </c:dLbls>
        <c:gapWidth val="182"/>
        <c:axId val="936641663"/>
        <c:axId val="936642143"/>
      </c:barChart>
      <c:catAx>
        <c:axId val="93664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42143"/>
        <c:crosses val="autoZero"/>
        <c:auto val="1"/>
        <c:lblAlgn val="ctr"/>
        <c:lblOffset val="100"/>
        <c:noMultiLvlLbl val="0"/>
      </c:catAx>
      <c:valAx>
        <c:axId val="9366421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[ITC_Social_Dataset_2026_Refi.xlsx]CSR_Aspirational_Dist_Tables!PivotTable20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21981627296588"/>
          <c:y val="0.30555555555555558"/>
          <c:w val="0.52871303587051621"/>
          <c:h val="0.58704505686789155"/>
        </c:manualLayout>
      </c:layout>
      <c:barChart>
        <c:barDir val="bar"/>
        <c:grouping val="clustered"/>
        <c:varyColors val="0"/>
        <c:ser>
          <c:idx val="0"/>
          <c:order val="0"/>
          <c:tx>
            <c:strRef>
              <c:f>CSR_Aspirational_Dist_Tables!$E$5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CSR_Aspirational_Dist_Tables!$D$6:$D$20</c:f>
              <c:strCache>
                <c:ptCount val="14"/>
                <c:pt idx="0">
                  <c:v>Assam – Darrang</c:v>
                </c:pt>
                <c:pt idx="1">
                  <c:v>Bihar – Begusarai</c:v>
                </c:pt>
                <c:pt idx="2">
                  <c:v>Chhattisgarh – Sukma</c:v>
                </c:pt>
                <c:pt idx="3">
                  <c:v>Madhya Pradesh – Vidisha</c:v>
                </c:pt>
                <c:pt idx="4">
                  <c:v>Maharashtra – Nandurbar</c:v>
                </c:pt>
                <c:pt idx="5">
                  <c:v>Maharashtra – Washim</c:v>
                </c:pt>
                <c:pt idx="6">
                  <c:v>Multiple* (17 States) – Multiple*</c:v>
                </c:pt>
                <c:pt idx="7">
                  <c:v>Odisha – Malkangiri</c:v>
                </c:pt>
                <c:pt idx="8">
                  <c:v>Rajasthan – Baran</c:v>
                </c:pt>
                <c:pt idx="9">
                  <c:v>Rajasthan – Jaisalmer</c:v>
                </c:pt>
                <c:pt idx="10">
                  <c:v>Telangana – Bhadradri Kothagudem</c:v>
                </c:pt>
                <c:pt idx="11">
                  <c:v>Uttar Pradesh – Bahraich</c:v>
                </c:pt>
                <c:pt idx="12">
                  <c:v>Uttar Pradesh – Chandauli</c:v>
                </c:pt>
                <c:pt idx="13">
                  <c:v>Uttarakhand – Haridwar</c:v>
                </c:pt>
              </c:strCache>
            </c:strRef>
          </c:cat>
          <c:val>
            <c:numRef>
              <c:f>CSR_Aspirational_Dist_Tables!$E$6:$E$20</c:f>
              <c:numCache>
                <c:formatCode>#,##0.##</c:formatCode>
                <c:ptCount val="14"/>
                <c:pt idx="0">
                  <c:v>275.08</c:v>
                </c:pt>
                <c:pt idx="1">
                  <c:v>256.31</c:v>
                </c:pt>
                <c:pt idx="2">
                  <c:v>123.17</c:v>
                </c:pt>
                <c:pt idx="3">
                  <c:v>302.13</c:v>
                </c:pt>
                <c:pt idx="4">
                  <c:v>114.4</c:v>
                </c:pt>
                <c:pt idx="5">
                  <c:v>141.11000000000001</c:v>
                </c:pt>
                <c:pt idx="6">
                  <c:v>1016.94</c:v>
                </c:pt>
                <c:pt idx="7">
                  <c:v>305.98</c:v>
                </c:pt>
                <c:pt idx="8">
                  <c:v>177.44</c:v>
                </c:pt>
                <c:pt idx="9">
                  <c:v>229.68</c:v>
                </c:pt>
                <c:pt idx="10">
                  <c:v>2992.35</c:v>
                </c:pt>
                <c:pt idx="11">
                  <c:v>217.66</c:v>
                </c:pt>
                <c:pt idx="12">
                  <c:v>172.86</c:v>
                </c:pt>
                <c:pt idx="13">
                  <c:v>624.5</c:v>
                </c:pt>
              </c:numCache>
            </c:numRef>
          </c:val>
          <c:extLst>
            <c:ext xmlns:c16="http://schemas.microsoft.com/office/drawing/2014/chart" uri="{C3380CC4-5D6E-409C-BE32-E72D297353CC}">
              <c16:uniqueId val="{00000000-0DDC-401F-87A1-59DCF9F2D574}"/>
            </c:ext>
          </c:extLst>
        </c:ser>
        <c:dLbls>
          <c:showLegendKey val="0"/>
          <c:showVal val="0"/>
          <c:showCatName val="0"/>
          <c:showSerName val="0"/>
          <c:showPercent val="0"/>
          <c:showBubbleSize val="0"/>
        </c:dLbls>
        <c:gapWidth val="150"/>
        <c:axId val="1362046015"/>
        <c:axId val="1364817631"/>
      </c:barChart>
      <c:valAx>
        <c:axId val="1364817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46015"/>
        <c:crosses val="autoZero"/>
        <c:crossBetween val="between"/>
      </c:valAx>
      <c:catAx>
        <c:axId val="136204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17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[ITC_Social_Dataset_2026_Refi.xlsx]CSR_Beneficiaries_Tables!PivotTable21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61893531799389"/>
          <c:y val="0.25723144680670379"/>
          <c:w val="0.5870125539120592"/>
          <c:h val="0.67087308369770993"/>
        </c:manualLayout>
      </c:layout>
      <c:barChart>
        <c:barDir val="bar"/>
        <c:grouping val="clustered"/>
        <c:varyColors val="0"/>
        <c:ser>
          <c:idx val="0"/>
          <c:order val="0"/>
          <c:tx>
            <c:strRef>
              <c:f>CSR_Beneficiaries_Tables!$E$5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CSR_Beneficiaries_Tables!$D$6:$D$15</c:f>
              <c:strCache>
                <c:ptCount val="9"/>
                <c:pt idx="0">
                  <c:v>Climate Smart Agriculture</c:v>
                </c:pt>
                <c:pt idx="1">
                  <c:v>Improving Health &amp; Sanitation - Maternal And Child Health And Nutrition</c:v>
                </c:pt>
                <c:pt idx="2">
                  <c:v>Improving Health &amp; Sanitation - Waste Management</c:v>
                </c:pt>
                <c:pt idx="3">
                  <c:v>Natural Resources Management - Water Stewardship</c:v>
                </c:pt>
                <c:pt idx="4">
                  <c:v>Off-Farm Livelihood Diversification - Improved Animal Husbandry Practices</c:v>
                </c:pt>
                <c:pt idx="5">
                  <c:v>On-Farm Livelihood Diversification - Social Forestry</c:v>
                </c:pt>
                <c:pt idx="6">
                  <c:v>Skilling Of Youth</c:v>
                </c:pt>
                <c:pt idx="7">
                  <c:v>Support To Education</c:v>
                </c:pt>
                <c:pt idx="8">
                  <c:v>Women Empowerment</c:v>
                </c:pt>
              </c:strCache>
            </c:strRef>
          </c:cat>
          <c:val>
            <c:numRef>
              <c:f>CSR_Beneficiaries_Tables!$E$6:$E$15</c:f>
              <c:numCache>
                <c:formatCode>#,##0.##</c:formatCode>
                <c:ptCount val="9"/>
                <c:pt idx="0">
                  <c:v>1209000</c:v>
                </c:pt>
                <c:pt idx="1">
                  <c:v>1700000</c:v>
                </c:pt>
                <c:pt idx="2">
                  <c:v>713000</c:v>
                </c:pt>
                <c:pt idx="3">
                  <c:v>66870</c:v>
                </c:pt>
                <c:pt idx="4">
                  <c:v>216000</c:v>
                </c:pt>
                <c:pt idx="5">
                  <c:v>8950</c:v>
                </c:pt>
                <c:pt idx="6">
                  <c:v>17600</c:v>
                </c:pt>
                <c:pt idx="7">
                  <c:v>1094000</c:v>
                </c:pt>
                <c:pt idx="8">
                  <c:v>948000</c:v>
                </c:pt>
              </c:numCache>
            </c:numRef>
          </c:val>
          <c:extLst>
            <c:ext xmlns:c16="http://schemas.microsoft.com/office/drawing/2014/chart" uri="{C3380CC4-5D6E-409C-BE32-E72D297353CC}">
              <c16:uniqueId val="{00000000-45C9-4A20-8A20-97582AF7E51E}"/>
            </c:ext>
          </c:extLst>
        </c:ser>
        <c:dLbls>
          <c:dLblPos val="outEnd"/>
          <c:showLegendKey val="0"/>
          <c:showVal val="1"/>
          <c:showCatName val="0"/>
          <c:showSerName val="0"/>
          <c:showPercent val="0"/>
          <c:showBubbleSize val="0"/>
        </c:dLbls>
        <c:gapWidth val="182"/>
        <c:axId val="1719919263"/>
        <c:axId val="1719923583"/>
      </c:barChart>
      <c:catAx>
        <c:axId val="171991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23583"/>
        <c:crosses val="autoZero"/>
        <c:auto val="1"/>
        <c:lblAlgn val="ctr"/>
        <c:lblOffset val="100"/>
        <c:noMultiLvlLbl val="0"/>
      </c:catAx>
      <c:valAx>
        <c:axId val="17199235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1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9652559055118112E-2"/>
              <c:y val="8.93554972295129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1552712160979873E-2"/>
              <c:y val="-8.07185039370078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Employee_Benefits_Tables!$E$5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B54-425D-B971-3CC415CF45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54-425D-B971-3CC415CF451D}"/>
              </c:ext>
            </c:extLst>
          </c:dPt>
          <c:dLbls>
            <c:dLbl>
              <c:idx val="0"/>
              <c:layout>
                <c:manualLayout>
                  <c:x val="5.9652559055118112E-2"/>
                  <c:y val="8.93554972295129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54-425D-B971-3CC415CF451D}"/>
                </c:ext>
              </c:extLst>
            </c:dLbl>
            <c:dLbl>
              <c:idx val="1"/>
              <c:layout>
                <c:manualLayout>
                  <c:x val="-7.1552712160979873E-2"/>
                  <c:y val="-8.07185039370078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54-425D-B971-3CC415CF45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Employee_Benefits_Tables!$D$6:$D$8</c:f>
              <c:strCache>
                <c:ptCount val="2"/>
                <c:pt idx="0">
                  <c:v>Permanent Employees – Female</c:v>
                </c:pt>
                <c:pt idx="1">
                  <c:v>Permanent Employees – Male</c:v>
                </c:pt>
              </c:strCache>
            </c:strRef>
          </c:cat>
          <c:val>
            <c:numRef>
              <c:f>Employee_Benefits_Tables!$E$6:$E$8</c:f>
              <c:numCache>
                <c:formatCode>#,##0.##</c:formatCode>
                <c:ptCount val="2"/>
                <c:pt idx="0">
                  <c:v>2080</c:v>
                </c:pt>
                <c:pt idx="1">
                  <c:v>9362</c:v>
                </c:pt>
              </c:numCache>
            </c:numRef>
          </c:val>
          <c:extLst>
            <c:ext xmlns:c16="http://schemas.microsoft.com/office/drawing/2014/chart" uri="{C3380CC4-5D6E-409C-BE32-E72D297353CC}">
              <c16:uniqueId val="{00000000-6B54-425D-B971-3CC415CF45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2216754155730533E-2"/>
              <c:y val="-2.1939705453484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3019685039370078E-2"/>
              <c:y val="-5.1598862642169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Employee_Benefits_Tables!$G$5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982-457D-A1B6-EB94E48CD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982-457D-A1B6-EB94E48CDED1}"/>
              </c:ext>
            </c:extLst>
          </c:dPt>
          <c:dLbls>
            <c:dLbl>
              <c:idx val="0"/>
              <c:layout>
                <c:manualLayout>
                  <c:x val="3.2216754155730533E-2"/>
                  <c:y val="-2.19397054534849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82-457D-A1B6-EB94E48CDED1}"/>
                </c:ext>
              </c:extLst>
            </c:dLbl>
            <c:dLbl>
              <c:idx val="1"/>
              <c:layout>
                <c:manualLayout>
                  <c:x val="-1.3019685039370078E-2"/>
                  <c:y val="-5.15988626421697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82-457D-A1B6-EB94E48CDE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Employee_Benefits_Tables!$F$6:$F$8</c:f>
              <c:strCache>
                <c:ptCount val="2"/>
                <c:pt idx="0">
                  <c:v>Other Than Permanent Employees – Female</c:v>
                </c:pt>
                <c:pt idx="1">
                  <c:v>Other Than Permanent Employees – Male</c:v>
                </c:pt>
              </c:strCache>
            </c:strRef>
          </c:cat>
          <c:val>
            <c:numRef>
              <c:f>Employee_Benefits_Tables!$G$6:$G$8</c:f>
              <c:numCache>
                <c:formatCode>#,##0.##</c:formatCode>
                <c:ptCount val="2"/>
                <c:pt idx="0">
                  <c:v>196</c:v>
                </c:pt>
                <c:pt idx="1">
                  <c:v>440</c:v>
                </c:pt>
              </c:numCache>
            </c:numRef>
          </c:val>
          <c:extLst>
            <c:ext xmlns:c16="http://schemas.microsoft.com/office/drawing/2014/chart" uri="{C3380CC4-5D6E-409C-BE32-E72D297353CC}">
              <c16:uniqueId val="{00000000-6982-457D-A1B6-EB94E48CDE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3537164237449036E-2"/>
              <c:y val="-0.30843821687643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5830680739375663E-2"/>
              <c:y val="-0.2087006840680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Employee_Benefits_Tables!$D$23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FE89-4C5A-BCBE-850586FC29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E89-4C5A-BCBE-850586FC2962}"/>
              </c:ext>
            </c:extLst>
          </c:dPt>
          <c:dLbls>
            <c:dLbl>
              <c:idx val="0"/>
              <c:layout>
                <c:manualLayout>
                  <c:x val="-2.5830680739375663E-2"/>
                  <c:y val="-0.208700684068034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89-4C5A-BCBE-850586FC2962}"/>
                </c:ext>
              </c:extLst>
            </c:dLbl>
            <c:dLbl>
              <c:idx val="1"/>
              <c:layout>
                <c:manualLayout>
                  <c:x val="4.3537164237449036E-2"/>
                  <c:y val="-0.3084382168764337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89-4C5A-BCBE-850586FC29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Employee_Benefits_Tables!$C$24:$C$26</c:f>
              <c:strCache>
                <c:ptCount val="2"/>
                <c:pt idx="0">
                  <c:v>Permanent Employees – Female</c:v>
                </c:pt>
                <c:pt idx="1">
                  <c:v>Permanent Employees – Male</c:v>
                </c:pt>
              </c:strCache>
            </c:strRef>
          </c:cat>
          <c:val>
            <c:numRef>
              <c:f>Employee_Benefits_Tables!$D$24:$D$26</c:f>
              <c:numCache>
                <c:formatCode>0.0%</c:formatCode>
                <c:ptCount val="2"/>
                <c:pt idx="0">
                  <c:v>1</c:v>
                </c:pt>
                <c:pt idx="1">
                  <c:v>1</c:v>
                </c:pt>
              </c:numCache>
            </c:numRef>
          </c:val>
          <c:extLst>
            <c:ext xmlns:c16="http://schemas.microsoft.com/office/drawing/2014/chart" uri="{C3380CC4-5D6E-409C-BE32-E72D297353CC}">
              <c16:uniqueId val="{00000000-FE89-4C5A-BCBE-850586FC296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[ITC_Social_Dataset_2026_Refi.xlsx]Employee_Benefits_Tables!PivotTable4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3688455528662027E-2"/>
              <c:y val="-0.335256665510612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470209463116724E-2"/>
              <c:y val="-0.201256674073978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Employee_Benefits_Tables!$G$23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1F7-4007-A16A-6E97B988F0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1F7-4007-A16A-6E97B988F0FC}"/>
              </c:ext>
            </c:extLst>
          </c:dPt>
          <c:dLbls>
            <c:dLbl>
              <c:idx val="0"/>
              <c:layout>
                <c:manualLayout>
                  <c:x val="-3.8470209463116724E-2"/>
                  <c:y val="-0.2012566740739789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F7-4007-A16A-6E97B988F0FC}"/>
                </c:ext>
              </c:extLst>
            </c:dLbl>
            <c:dLbl>
              <c:idx val="1"/>
              <c:layout>
                <c:manualLayout>
                  <c:x val="5.3688455528662027E-2"/>
                  <c:y val="-0.335256665510612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F7-4007-A16A-6E97B988F0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Employee_Benefits_Tables!$F$24:$F$26</c:f>
              <c:strCache>
                <c:ptCount val="2"/>
                <c:pt idx="0">
                  <c:v>Other Than Permanent Employees – Female</c:v>
                </c:pt>
                <c:pt idx="1">
                  <c:v>Other Than Permanent Employees – Male</c:v>
                </c:pt>
              </c:strCache>
            </c:strRef>
          </c:cat>
          <c:val>
            <c:numRef>
              <c:f>Employee_Benefits_Tables!$G$24:$G$26</c:f>
              <c:numCache>
                <c:formatCode>0.0%</c:formatCode>
                <c:ptCount val="2"/>
                <c:pt idx="0">
                  <c:v>0.57999999999999996</c:v>
                </c:pt>
                <c:pt idx="1">
                  <c:v>0.67</c:v>
                </c:pt>
              </c:numCache>
            </c:numRef>
          </c:val>
          <c:extLst>
            <c:ext xmlns:c16="http://schemas.microsoft.com/office/drawing/2014/chart" uri="{C3380CC4-5D6E-409C-BE32-E72D297353CC}">
              <c16:uniqueId val="{00000000-01F7-4007-A16A-6E97B988F0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[ITC_Social_Dataset_2026_Refi.xlsx]Worker_Benefits_Tables!PivotTable5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0346237970253665E-2"/>
              <c:y val="5.1820501603966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149825021872265"/>
              <c:y val="-8.4297171186934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Worker_Benefits_Tables!$D$5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FFA-4D84-9E91-18D1DA4831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FA-4D84-9E91-18D1DA4831AE}"/>
              </c:ext>
            </c:extLst>
          </c:dPt>
          <c:dLbls>
            <c:dLbl>
              <c:idx val="0"/>
              <c:layout>
                <c:manualLayout>
                  <c:x val="9.0346237970253665E-2"/>
                  <c:y val="5.182050160396617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FA-4D84-9E91-18D1DA4831AE}"/>
                </c:ext>
              </c:extLst>
            </c:dLbl>
            <c:dLbl>
              <c:idx val="1"/>
              <c:layout>
                <c:manualLayout>
                  <c:x val="-0.12149825021872265"/>
                  <c:y val="-8.42971711869349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FA-4D84-9E91-18D1DA4831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Worker_Benefits_Tables!$C$6:$C$8</c:f>
              <c:strCache>
                <c:ptCount val="2"/>
                <c:pt idx="0">
                  <c:v>Permanent Workers – Female</c:v>
                </c:pt>
                <c:pt idx="1">
                  <c:v>Permanent Workers – Male</c:v>
                </c:pt>
              </c:strCache>
            </c:strRef>
          </c:cat>
          <c:val>
            <c:numRef>
              <c:f>Worker_Benefits_Tables!$D$6:$D$8</c:f>
              <c:numCache>
                <c:formatCode>#,##0.##</c:formatCode>
                <c:ptCount val="2"/>
                <c:pt idx="0">
                  <c:v>683</c:v>
                </c:pt>
                <c:pt idx="1">
                  <c:v>10368</c:v>
                </c:pt>
              </c:numCache>
            </c:numRef>
          </c:val>
          <c:extLst>
            <c:ext xmlns:c16="http://schemas.microsoft.com/office/drawing/2014/chart" uri="{C3380CC4-5D6E-409C-BE32-E72D297353CC}">
              <c16:uniqueId val="{00000000-1FFA-4D84-9E91-18D1DA4831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[ITC_Social_Dataset_2026_Refi.xlsx]Worker_Benefits_Tables!PivotTable6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3703630796150479E-2"/>
              <c:y val="4.9315398075240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2546369203849531E-2"/>
              <c:y val="-4.12820793234179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Worker_Benefits_Tables!$F$5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815-43C5-B2D6-87D909C4EE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15-43C5-B2D6-87D909C4EE74}"/>
              </c:ext>
            </c:extLst>
          </c:dPt>
          <c:dLbls>
            <c:dLbl>
              <c:idx val="0"/>
              <c:layout>
                <c:manualLayout>
                  <c:x val="4.3703630796150479E-2"/>
                  <c:y val="4.931539807524059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15-43C5-B2D6-87D909C4EE74}"/>
                </c:ext>
              </c:extLst>
            </c:dLbl>
            <c:dLbl>
              <c:idx val="1"/>
              <c:layout>
                <c:manualLayout>
                  <c:x val="-2.2546369203849531E-2"/>
                  <c:y val="-4.12820793234179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15-43C5-B2D6-87D909C4EE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Worker_Benefits_Tables!$E$6:$E$8</c:f>
              <c:strCache>
                <c:ptCount val="2"/>
                <c:pt idx="0">
                  <c:v>Other than Permanent Workers – Female</c:v>
                </c:pt>
                <c:pt idx="1">
                  <c:v>Other than Permanent Workers – Male</c:v>
                </c:pt>
              </c:strCache>
            </c:strRef>
          </c:cat>
          <c:val>
            <c:numRef>
              <c:f>Worker_Benefits_Tables!$F$6:$F$8</c:f>
              <c:numCache>
                <c:formatCode>#,##0.##</c:formatCode>
                <c:ptCount val="2"/>
                <c:pt idx="0">
                  <c:v>4305</c:v>
                </c:pt>
                <c:pt idx="1">
                  <c:v>21203</c:v>
                </c:pt>
              </c:numCache>
            </c:numRef>
          </c:val>
          <c:extLst>
            <c:ext xmlns:c16="http://schemas.microsoft.com/office/drawing/2014/chart" uri="{C3380CC4-5D6E-409C-BE32-E72D297353CC}">
              <c16:uniqueId val="{00000000-1815-43C5-B2D6-87D909C4EE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[ITC_Social_Dataset_2026_Refi.xlsx]Parental_Leave_Tables!PivotTable10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Parental_Leave_Tables!$G$5</c:f>
              <c:strCache>
                <c:ptCount val="1"/>
                <c:pt idx="0">
                  <c:v>Return to Work Rates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Parental_Leave_Tables!$F$6:$F$8</c:f>
              <c:strCache>
                <c:ptCount val="2"/>
                <c:pt idx="0">
                  <c:v>Female</c:v>
                </c:pt>
                <c:pt idx="1">
                  <c:v>Male</c:v>
                </c:pt>
              </c:strCache>
            </c:strRef>
          </c:cat>
          <c:val>
            <c:numRef>
              <c:f>Parental_Leave_Tables!$G$6:$G$8</c:f>
              <c:numCache>
                <c:formatCode>0.0%</c:formatCode>
                <c:ptCount val="2"/>
                <c:pt idx="0">
                  <c:v>0.98</c:v>
                </c:pt>
                <c:pt idx="1">
                  <c:v>1</c:v>
                </c:pt>
              </c:numCache>
            </c:numRef>
          </c:val>
          <c:extLst>
            <c:ext xmlns:c16="http://schemas.microsoft.com/office/drawing/2014/chart" uri="{C3380CC4-5D6E-409C-BE32-E72D297353CC}">
              <c16:uniqueId val="{00000000-5F58-450A-AFD2-95AC2B9BEC3F}"/>
            </c:ext>
          </c:extLst>
        </c:ser>
        <c:ser>
          <c:idx val="1"/>
          <c:order val="1"/>
          <c:tx>
            <c:strRef>
              <c:f>Parental_Leave_Tables!$H$5</c:f>
              <c:strCache>
                <c:ptCount val="1"/>
                <c:pt idx="0">
                  <c:v> Retention Rates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Parental_Leave_Tables!$F$6:$F$8</c:f>
              <c:strCache>
                <c:ptCount val="2"/>
                <c:pt idx="0">
                  <c:v>Female</c:v>
                </c:pt>
                <c:pt idx="1">
                  <c:v>Male</c:v>
                </c:pt>
              </c:strCache>
            </c:strRef>
          </c:cat>
          <c:val>
            <c:numRef>
              <c:f>Parental_Leave_Tables!$H$6:$H$8</c:f>
              <c:numCache>
                <c:formatCode>0.0%</c:formatCode>
                <c:ptCount val="2"/>
                <c:pt idx="0">
                  <c:v>0.84</c:v>
                </c:pt>
                <c:pt idx="1">
                  <c:v>0.86</c:v>
                </c:pt>
              </c:numCache>
            </c:numRef>
          </c:val>
          <c:extLst>
            <c:ext xmlns:c16="http://schemas.microsoft.com/office/drawing/2014/chart" uri="{C3380CC4-5D6E-409C-BE32-E72D297353CC}">
              <c16:uniqueId val="{00000001-5F58-450A-AFD2-95AC2B9BEC3F}"/>
            </c:ext>
          </c:extLst>
        </c:ser>
        <c:dLbls>
          <c:dLblPos val="outEnd"/>
          <c:showLegendKey val="0"/>
          <c:showVal val="1"/>
          <c:showCatName val="0"/>
          <c:showSerName val="0"/>
          <c:showPercent val="0"/>
          <c:showBubbleSize val="0"/>
        </c:dLbls>
        <c:gapWidth val="219"/>
        <c:overlap val="-27"/>
        <c:axId val="1308997119"/>
        <c:axId val="1308995199"/>
      </c:barChart>
      <c:catAx>
        <c:axId val="130899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95199"/>
        <c:crosses val="autoZero"/>
        <c:auto val="1"/>
        <c:lblAlgn val="ctr"/>
        <c:lblOffset val="100"/>
        <c:noMultiLvlLbl val="0"/>
      </c:catAx>
      <c:valAx>
        <c:axId val="130899519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997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[ITC_Social_Dataset_2026_Refi.xlsx]Training_Coverage_Tables!PivotTable11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Training_Coverage_Tables!$E$23</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Training_Coverage_Tables!$D$24:$D$28</c:f>
              <c:strCache>
                <c:ptCount val="4"/>
                <c:pt idx="0">
                  <c:v>Employees – Female</c:v>
                </c:pt>
                <c:pt idx="1">
                  <c:v>Employees – Male</c:v>
                </c:pt>
                <c:pt idx="2">
                  <c:v>Workers – Female</c:v>
                </c:pt>
                <c:pt idx="3">
                  <c:v>Workers – Male</c:v>
                </c:pt>
              </c:strCache>
            </c:strRef>
          </c:cat>
          <c:val>
            <c:numRef>
              <c:f>Training_Coverage_Tables!$E$24:$E$28</c:f>
              <c:numCache>
                <c:formatCode>0.0%</c:formatCode>
                <c:ptCount val="4"/>
                <c:pt idx="0">
                  <c:v>0.57999999999999996</c:v>
                </c:pt>
                <c:pt idx="1">
                  <c:v>0.7</c:v>
                </c:pt>
                <c:pt idx="2">
                  <c:v>0.9</c:v>
                </c:pt>
                <c:pt idx="3">
                  <c:v>0.8</c:v>
                </c:pt>
              </c:numCache>
            </c:numRef>
          </c:val>
          <c:extLst>
            <c:ext xmlns:c16="http://schemas.microsoft.com/office/drawing/2014/chart" uri="{C3380CC4-5D6E-409C-BE32-E72D297353CC}">
              <c16:uniqueId val="{00000000-7007-4C43-AA29-8C87DC87666F}"/>
            </c:ext>
          </c:extLst>
        </c:ser>
        <c:ser>
          <c:idx val="1"/>
          <c:order val="1"/>
          <c:tx>
            <c:strRef>
              <c:f>Training_Coverage_Tables!$F$23</c:f>
              <c:strCache>
                <c:ptCount val="1"/>
                <c:pt idx="0">
                  <c:v> 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Training_Coverage_Tables!$D$24:$D$28</c:f>
              <c:strCache>
                <c:ptCount val="4"/>
                <c:pt idx="0">
                  <c:v>Employees – Female</c:v>
                </c:pt>
                <c:pt idx="1">
                  <c:v>Employees – Male</c:v>
                </c:pt>
                <c:pt idx="2">
                  <c:v>Workers – Female</c:v>
                </c:pt>
                <c:pt idx="3">
                  <c:v>Workers – Male</c:v>
                </c:pt>
              </c:strCache>
            </c:strRef>
          </c:cat>
          <c:val>
            <c:numRef>
              <c:f>Training_Coverage_Tables!$F$24:$F$28</c:f>
              <c:numCache>
                <c:formatCode>0.0%</c:formatCode>
                <c:ptCount val="4"/>
                <c:pt idx="0">
                  <c:v>0.33</c:v>
                </c:pt>
                <c:pt idx="1">
                  <c:v>0.4</c:v>
                </c:pt>
                <c:pt idx="2">
                  <c:v>0.94</c:v>
                </c:pt>
                <c:pt idx="3">
                  <c:v>0.59</c:v>
                </c:pt>
              </c:numCache>
            </c:numRef>
          </c:val>
          <c:extLst>
            <c:ext xmlns:c16="http://schemas.microsoft.com/office/drawing/2014/chart" uri="{C3380CC4-5D6E-409C-BE32-E72D297353CC}">
              <c16:uniqueId val="{00000001-7007-4C43-AA29-8C87DC87666F}"/>
            </c:ext>
          </c:extLst>
        </c:ser>
        <c:dLbls>
          <c:dLblPos val="outEnd"/>
          <c:showLegendKey val="0"/>
          <c:showVal val="1"/>
          <c:showCatName val="0"/>
          <c:showSerName val="0"/>
          <c:showPercent val="0"/>
          <c:showBubbleSize val="0"/>
        </c:dLbls>
        <c:gapWidth val="182"/>
        <c:axId val="1369273327"/>
        <c:axId val="1369272847"/>
      </c:barChart>
      <c:catAx>
        <c:axId val="136927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72847"/>
        <c:crosses val="autoZero"/>
        <c:auto val="1"/>
        <c:lblAlgn val="ctr"/>
        <c:lblOffset val="100"/>
        <c:noMultiLvlLbl val="0"/>
      </c:catAx>
      <c:valAx>
        <c:axId val="136927284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927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[ITC_Social_Dataset_2026_Refi.xlsx]Training_Coverage_Tables!PivotTable12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Training_Coverage_Tables!$G$40</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Training_Coverage_Tables!$F$41:$F$45</c:f>
              <c:strCache>
                <c:ptCount val="4"/>
                <c:pt idx="0">
                  <c:v>Employees – Female</c:v>
                </c:pt>
                <c:pt idx="1">
                  <c:v>Employees – Male</c:v>
                </c:pt>
                <c:pt idx="2">
                  <c:v>Workers – Female</c:v>
                </c:pt>
                <c:pt idx="3">
                  <c:v>Workers – Male</c:v>
                </c:pt>
              </c:strCache>
            </c:strRef>
          </c:cat>
          <c:val>
            <c:numRef>
              <c:f>Training_Coverage_Tables!$G$41:$G$45</c:f>
              <c:numCache>
                <c:formatCode>0.0%</c:formatCode>
                <c:ptCount val="4"/>
                <c:pt idx="0">
                  <c:v>0.51</c:v>
                </c:pt>
                <c:pt idx="1">
                  <c:v>0.63</c:v>
                </c:pt>
                <c:pt idx="2">
                  <c:v>0.55000000000000004</c:v>
                </c:pt>
                <c:pt idx="3">
                  <c:v>0.42</c:v>
                </c:pt>
              </c:numCache>
            </c:numRef>
          </c:val>
          <c:extLst>
            <c:ext xmlns:c16="http://schemas.microsoft.com/office/drawing/2014/chart" uri="{C3380CC4-5D6E-409C-BE32-E72D297353CC}">
              <c16:uniqueId val="{00000000-3B5C-4B50-99CD-50E4EC103440}"/>
            </c:ext>
          </c:extLst>
        </c:ser>
        <c:ser>
          <c:idx val="1"/>
          <c:order val="1"/>
          <c:tx>
            <c:strRef>
              <c:f>Training_Coverage_Tables!$H$40</c:f>
              <c:strCache>
                <c:ptCount val="1"/>
                <c:pt idx="0">
                  <c:v> 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Training_Coverage_Tables!$F$41:$F$45</c:f>
              <c:strCache>
                <c:ptCount val="4"/>
                <c:pt idx="0">
                  <c:v>Employees – Female</c:v>
                </c:pt>
                <c:pt idx="1">
                  <c:v>Employees – Male</c:v>
                </c:pt>
                <c:pt idx="2">
                  <c:v>Workers – Female</c:v>
                </c:pt>
                <c:pt idx="3">
                  <c:v>Workers – Male</c:v>
                </c:pt>
              </c:strCache>
            </c:strRef>
          </c:cat>
          <c:val>
            <c:numRef>
              <c:f>Training_Coverage_Tables!$H$41:$H$45</c:f>
              <c:numCache>
                <c:formatCode>0.0%</c:formatCode>
                <c:ptCount val="4"/>
                <c:pt idx="0">
                  <c:v>0.76</c:v>
                </c:pt>
                <c:pt idx="1">
                  <c:v>0.74</c:v>
                </c:pt>
                <c:pt idx="2">
                  <c:v>0.42</c:v>
                </c:pt>
                <c:pt idx="3">
                  <c:v>0.48</c:v>
                </c:pt>
              </c:numCache>
            </c:numRef>
          </c:val>
          <c:extLst>
            <c:ext xmlns:c16="http://schemas.microsoft.com/office/drawing/2014/chart" uri="{C3380CC4-5D6E-409C-BE32-E72D297353CC}">
              <c16:uniqueId val="{00000001-3B5C-4B50-99CD-50E4EC103440}"/>
            </c:ext>
          </c:extLst>
        </c:ser>
        <c:dLbls>
          <c:dLblPos val="outEnd"/>
          <c:showLegendKey val="0"/>
          <c:showVal val="1"/>
          <c:showCatName val="0"/>
          <c:showSerName val="0"/>
          <c:showPercent val="0"/>
          <c:showBubbleSize val="0"/>
        </c:dLbls>
        <c:gapWidth val="182"/>
        <c:axId val="1510408303"/>
        <c:axId val="1510407343"/>
      </c:barChart>
      <c:catAx>
        <c:axId val="151040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7343"/>
        <c:crosses val="autoZero"/>
        <c:auto val="1"/>
        <c:lblAlgn val="ctr"/>
        <c:lblOffset val="100"/>
        <c:noMultiLvlLbl val="0"/>
      </c:catAx>
      <c:valAx>
        <c:axId val="15104073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[ITC_Social_Dataset_2026_Refi.xlsx]Performance_Reviews_Tables!PivotTable13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Performance_Reviews_Tables!$E$23</c:f>
              <c:strCache>
                <c:ptCount val="1"/>
                <c:pt idx="0">
                  <c:v> 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Performance_Reviews_Tables!$D$24:$D$28</c:f>
              <c:strCache>
                <c:ptCount val="4"/>
                <c:pt idx="0">
                  <c:v>Employees – Female</c:v>
                </c:pt>
                <c:pt idx="1">
                  <c:v>Employees – Male</c:v>
                </c:pt>
                <c:pt idx="2">
                  <c:v>Workers – Female</c:v>
                </c:pt>
                <c:pt idx="3">
                  <c:v>Workers – Male</c:v>
                </c:pt>
              </c:strCache>
            </c:strRef>
          </c:cat>
          <c:val>
            <c:numRef>
              <c:f>Performance_Reviews_Tables!$E$24:$E$28</c:f>
              <c:numCache>
                <c:formatCode>0.0%</c:formatCode>
                <c:ptCount val="4"/>
                <c:pt idx="0">
                  <c:v>1</c:v>
                </c:pt>
                <c:pt idx="1">
                  <c:v>1</c:v>
                </c:pt>
                <c:pt idx="2">
                  <c:v>0.98</c:v>
                </c:pt>
                <c:pt idx="3">
                  <c:v>0.79</c:v>
                </c:pt>
              </c:numCache>
            </c:numRef>
          </c:val>
          <c:extLst>
            <c:ext xmlns:c16="http://schemas.microsoft.com/office/drawing/2014/chart" uri="{C3380CC4-5D6E-409C-BE32-E72D297353CC}">
              <c16:uniqueId val="{00000000-D02E-48C5-A245-F32CB60C8BC3}"/>
            </c:ext>
          </c:extLst>
        </c:ser>
        <c:ser>
          <c:idx val="1"/>
          <c:order val="1"/>
          <c:tx>
            <c:strRef>
              <c:f>Performance_Reviews_Tables!$F$23</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Performance_Reviews_Tables!$D$24:$D$28</c:f>
              <c:strCache>
                <c:ptCount val="4"/>
                <c:pt idx="0">
                  <c:v>Employees – Female</c:v>
                </c:pt>
                <c:pt idx="1">
                  <c:v>Employees – Male</c:v>
                </c:pt>
                <c:pt idx="2">
                  <c:v>Workers – Female</c:v>
                </c:pt>
                <c:pt idx="3">
                  <c:v>Workers – Male</c:v>
                </c:pt>
              </c:strCache>
            </c:strRef>
          </c:cat>
          <c:val>
            <c:numRef>
              <c:f>Performance_Reviews_Tables!$F$24:$F$28</c:f>
              <c:numCache>
                <c:formatCode>0.0%</c:formatCode>
                <c:ptCount val="4"/>
                <c:pt idx="0">
                  <c:v>1</c:v>
                </c:pt>
                <c:pt idx="1">
                  <c:v>1</c:v>
                </c:pt>
                <c:pt idx="2">
                  <c:v>0.98</c:v>
                </c:pt>
                <c:pt idx="3">
                  <c:v>0.77</c:v>
                </c:pt>
              </c:numCache>
            </c:numRef>
          </c:val>
          <c:extLst>
            <c:ext xmlns:c16="http://schemas.microsoft.com/office/drawing/2014/chart" uri="{C3380CC4-5D6E-409C-BE32-E72D297353CC}">
              <c16:uniqueId val="{00000001-D02E-48C5-A245-F32CB60C8BC3}"/>
            </c:ext>
          </c:extLst>
        </c:ser>
        <c:dLbls>
          <c:dLblPos val="outEnd"/>
          <c:showLegendKey val="0"/>
          <c:showVal val="1"/>
          <c:showCatName val="0"/>
          <c:showSerName val="0"/>
          <c:showPercent val="0"/>
          <c:showBubbleSize val="0"/>
        </c:dLbls>
        <c:gapWidth val="219"/>
        <c:axId val="1518808863"/>
        <c:axId val="1518476927"/>
      </c:barChart>
      <c:catAx>
        <c:axId val="1518808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76927"/>
        <c:crosses val="autoZero"/>
        <c:auto val="1"/>
        <c:lblAlgn val="ctr"/>
        <c:lblOffset val="100"/>
        <c:noMultiLvlLbl val="0"/>
      </c:catAx>
      <c:valAx>
        <c:axId val="151847692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0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[ITC_Social_Dataset_2026_Refi.xlsx]Safety_Incidents_Tables!PivotTable14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Safety_Incidents_Tables!$F$5</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Safety_Incidents_Tables!$E$6:$E$14</c:f>
              <c:strCache>
                <c:ptCount val="8"/>
                <c:pt idx="0">
                  <c:v>High consequence work-related injury or ill-health (excluding fatalities) – Employees</c:v>
                </c:pt>
                <c:pt idx="1">
                  <c:v>High consequence work-related injury or ill-health (excluding fatalities) – Workers</c:v>
                </c:pt>
                <c:pt idx="2">
                  <c:v>Lost Time Injury Frequency Rate (LTIFR) (per one million-person hours worked) – Employees</c:v>
                </c:pt>
                <c:pt idx="3">
                  <c:v>Lost Time Injury Frequency Rate (LTIFR) (per one million-person hours worked) – Workers</c:v>
                </c:pt>
                <c:pt idx="4">
                  <c:v>No. of fatalities – Employees</c:v>
                </c:pt>
                <c:pt idx="5">
                  <c:v>No. of fatalities – Workers</c:v>
                </c:pt>
                <c:pt idx="6">
                  <c:v>Total recordable work-related injuries – Employees</c:v>
                </c:pt>
                <c:pt idx="7">
                  <c:v>Total recordable work-related injuries – Workers</c:v>
                </c:pt>
              </c:strCache>
            </c:strRef>
          </c:cat>
          <c:val>
            <c:numRef>
              <c:f>Safety_Incidents_Tables!$F$6:$F$14</c:f>
              <c:numCache>
                <c:formatCode>#,##0.##</c:formatCode>
                <c:ptCount val="8"/>
                <c:pt idx="0">
                  <c:v>0</c:v>
                </c:pt>
                <c:pt idx="1">
                  <c:v>0</c:v>
                </c:pt>
                <c:pt idx="2">
                  <c:v>0.02</c:v>
                </c:pt>
                <c:pt idx="3">
                  <c:v>0.06</c:v>
                </c:pt>
                <c:pt idx="4">
                  <c:v>0</c:v>
                </c:pt>
                <c:pt idx="5">
                  <c:v>1</c:v>
                </c:pt>
                <c:pt idx="6">
                  <c:v>1</c:v>
                </c:pt>
                <c:pt idx="7">
                  <c:v>4</c:v>
                </c:pt>
              </c:numCache>
            </c:numRef>
          </c:val>
          <c:extLst>
            <c:ext xmlns:c16="http://schemas.microsoft.com/office/drawing/2014/chart" uri="{C3380CC4-5D6E-409C-BE32-E72D297353CC}">
              <c16:uniqueId val="{00000000-80B2-4DB2-B445-641083A5C1C9}"/>
            </c:ext>
          </c:extLst>
        </c:ser>
        <c:ser>
          <c:idx val="1"/>
          <c:order val="1"/>
          <c:tx>
            <c:strRef>
              <c:f>Safety_Incidents_Tables!$G$5</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Safety_Incidents_Tables!$E$6:$E$14</c:f>
              <c:strCache>
                <c:ptCount val="8"/>
                <c:pt idx="0">
                  <c:v>High consequence work-related injury or ill-health (excluding fatalities) – Employees</c:v>
                </c:pt>
                <c:pt idx="1">
                  <c:v>High consequence work-related injury or ill-health (excluding fatalities) – Workers</c:v>
                </c:pt>
                <c:pt idx="2">
                  <c:v>Lost Time Injury Frequency Rate (LTIFR) (per one million-person hours worked) – Employees</c:v>
                </c:pt>
                <c:pt idx="3">
                  <c:v>Lost Time Injury Frequency Rate (LTIFR) (per one million-person hours worked) – Workers</c:v>
                </c:pt>
                <c:pt idx="4">
                  <c:v>No. of fatalities – Employees</c:v>
                </c:pt>
                <c:pt idx="5">
                  <c:v>No. of fatalities – Workers</c:v>
                </c:pt>
                <c:pt idx="6">
                  <c:v>Total recordable work-related injuries – Employees</c:v>
                </c:pt>
                <c:pt idx="7">
                  <c:v>Total recordable work-related injuries – Workers</c:v>
                </c:pt>
              </c:strCache>
            </c:strRef>
          </c:cat>
          <c:val>
            <c:numRef>
              <c:f>Safety_Incidents_Tables!$G$6:$G$14</c:f>
              <c:numCache>
                <c:formatCode>#,##0.##</c:formatCode>
                <c:ptCount val="8"/>
                <c:pt idx="0">
                  <c:v>0</c:v>
                </c:pt>
                <c:pt idx="1">
                  <c:v>0</c:v>
                </c:pt>
                <c:pt idx="2">
                  <c:v>0.04</c:v>
                </c:pt>
                <c:pt idx="3">
                  <c:v>0.16</c:v>
                </c:pt>
                <c:pt idx="4">
                  <c:v>0</c:v>
                </c:pt>
                <c:pt idx="5">
                  <c:v>2</c:v>
                </c:pt>
                <c:pt idx="6">
                  <c:v>2</c:v>
                </c:pt>
                <c:pt idx="7">
                  <c:v>11</c:v>
                </c:pt>
              </c:numCache>
            </c:numRef>
          </c:val>
          <c:extLst>
            <c:ext xmlns:c16="http://schemas.microsoft.com/office/drawing/2014/chart" uri="{C3380CC4-5D6E-409C-BE32-E72D297353CC}">
              <c16:uniqueId val="{00000001-80B2-4DB2-B445-641083A5C1C9}"/>
            </c:ext>
          </c:extLst>
        </c:ser>
        <c:dLbls>
          <c:dLblPos val="outEnd"/>
          <c:showLegendKey val="0"/>
          <c:showVal val="1"/>
          <c:showCatName val="0"/>
          <c:showSerName val="0"/>
          <c:showPercent val="0"/>
          <c:showBubbleSize val="0"/>
        </c:dLbls>
        <c:gapWidth val="182"/>
        <c:axId val="1704903359"/>
        <c:axId val="1704913919"/>
      </c:barChart>
      <c:catAx>
        <c:axId val="1704903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13919"/>
        <c:crosses val="autoZero"/>
        <c:auto val="1"/>
        <c:lblAlgn val="ctr"/>
        <c:lblOffset val="100"/>
        <c:noMultiLvlLbl val="0"/>
      </c:catAx>
      <c:valAx>
        <c:axId val="1704913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90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[ITC_Social_Dataset_2026_Refi.xlsx]Median_Remuneration_Tables!PivotTable15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Median_Remuneration_Tables!$H$12</c:f>
              <c:strCache>
                <c:ptCount val="1"/>
                <c:pt idx="0">
                  <c:v>AVG - MALE REMUNERATION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Median_Remuneration_Tables!$G$13:$G$17</c:f>
              <c:strCache>
                <c:ptCount val="4"/>
                <c:pt idx="0">
                  <c:v>Board of Directors (BoD)</c:v>
                </c:pt>
                <c:pt idx="1">
                  <c:v>Employees other than BoD and KMP</c:v>
                </c:pt>
                <c:pt idx="2">
                  <c:v>Key Managerial Personnel*</c:v>
                </c:pt>
                <c:pt idx="3">
                  <c:v>Workers</c:v>
                </c:pt>
              </c:strCache>
            </c:strRef>
          </c:cat>
          <c:val>
            <c:numRef>
              <c:f>Median_Remuneration_Tables!$H$13:$H$17</c:f>
              <c:numCache>
                <c:formatCode>0</c:formatCode>
                <c:ptCount val="4"/>
                <c:pt idx="0">
                  <c:v>843928.57142857148</c:v>
                </c:pt>
                <c:pt idx="1">
                  <c:v>121.35192903708453</c:v>
                </c:pt>
                <c:pt idx="2">
                  <c:v>21072284.199999999</c:v>
                </c:pt>
                <c:pt idx="3">
                  <c:v>51.176022376543209</c:v>
                </c:pt>
              </c:numCache>
            </c:numRef>
          </c:val>
          <c:extLst>
            <c:ext xmlns:c16="http://schemas.microsoft.com/office/drawing/2014/chart" uri="{C3380CC4-5D6E-409C-BE32-E72D297353CC}">
              <c16:uniqueId val="{00000000-3CC0-47EE-81A5-754303633EA7}"/>
            </c:ext>
          </c:extLst>
        </c:ser>
        <c:ser>
          <c:idx val="1"/>
          <c:order val="1"/>
          <c:tx>
            <c:strRef>
              <c:f>Median_Remuneration_Tables!$I$12</c:f>
              <c:strCache>
                <c:ptCount val="1"/>
                <c:pt idx="0">
                  <c:v>AVG - FEMALE REMUNERATION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Median_Remuneration_Tables!$G$13:$G$17</c:f>
              <c:strCache>
                <c:ptCount val="4"/>
                <c:pt idx="0">
                  <c:v>Board of Directors (BoD)</c:v>
                </c:pt>
                <c:pt idx="1">
                  <c:v>Employees other than BoD and KMP</c:v>
                </c:pt>
                <c:pt idx="2">
                  <c:v>Key Managerial Personnel*</c:v>
                </c:pt>
                <c:pt idx="3">
                  <c:v>Workers</c:v>
                </c:pt>
              </c:strCache>
            </c:strRef>
          </c:cat>
          <c:val>
            <c:numRef>
              <c:f>Median_Remuneration_Tables!$I$13:$I$17</c:f>
              <c:numCache>
                <c:formatCode>0</c:formatCode>
                <c:ptCount val="4"/>
                <c:pt idx="0">
                  <c:v>3889954.3333333335</c:v>
                </c:pt>
                <c:pt idx="1">
                  <c:v>455.15288461538461</c:v>
                </c:pt>
                <c:pt idx="3">
                  <c:v>330.0497803806735</c:v>
                </c:pt>
              </c:numCache>
            </c:numRef>
          </c:val>
          <c:extLst>
            <c:ext xmlns:c16="http://schemas.microsoft.com/office/drawing/2014/chart" uri="{C3380CC4-5D6E-409C-BE32-E72D297353CC}">
              <c16:uniqueId val="{00000001-3CC0-47EE-81A5-754303633EA7}"/>
            </c:ext>
          </c:extLst>
        </c:ser>
        <c:dLbls>
          <c:dLblPos val="outEnd"/>
          <c:showLegendKey val="0"/>
          <c:showVal val="1"/>
          <c:showCatName val="0"/>
          <c:showSerName val="0"/>
          <c:showPercent val="0"/>
          <c:showBubbleSize val="0"/>
        </c:dLbls>
        <c:gapWidth val="219"/>
        <c:axId val="941390623"/>
        <c:axId val="941391103"/>
      </c:barChart>
      <c:catAx>
        <c:axId val="94139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91103"/>
        <c:crosses val="autoZero"/>
        <c:auto val="1"/>
        <c:lblAlgn val="ctr"/>
        <c:lblOffset val="100"/>
        <c:noMultiLvlLbl val="0"/>
      </c:catAx>
      <c:valAx>
        <c:axId val="9413911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39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[ITC_Social_Dataset_2026_Refi.xlsx]Gender_Pay_Gap_Tables!PivotTable17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Gender_Pay_Gap_Tables!$E$4</c:f>
              <c:strCache>
                <c:ptCount val="1"/>
                <c:pt idx="0">
                  <c:v>Sum of FY 2025-26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Gender_Pay_Gap_Tables!$D$5:$D$6</c:f>
              <c:strCache>
                <c:ptCount val="1"/>
                <c:pt idx="0">
                  <c:v>Gross wages paid to females as % of total wages paid</c:v>
                </c:pt>
              </c:strCache>
            </c:strRef>
          </c:cat>
          <c:val>
            <c:numRef>
              <c:f>Gender_Pay_Gap_Tables!$E$5:$E$6</c:f>
              <c:numCache>
                <c:formatCode>0.0%</c:formatCode>
                <c:ptCount val="1"/>
                <c:pt idx="0">
                  <c:v>0.11</c:v>
                </c:pt>
              </c:numCache>
            </c:numRef>
          </c:val>
          <c:extLst>
            <c:ext xmlns:c16="http://schemas.microsoft.com/office/drawing/2014/chart" uri="{C3380CC4-5D6E-409C-BE32-E72D297353CC}">
              <c16:uniqueId val="{00000000-83F7-4EA6-9484-1BF620B63355}"/>
            </c:ext>
          </c:extLst>
        </c:ser>
        <c:ser>
          <c:idx val="1"/>
          <c:order val="1"/>
          <c:tx>
            <c:strRef>
              <c:f>Gender_Pay_Gap_Tables!$F$4</c:f>
              <c:strCache>
                <c:ptCount val="1"/>
                <c:pt idx="0">
                  <c:v>Sum of FY 2024-25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Gender_Pay_Gap_Tables!$D$5:$D$6</c:f>
              <c:strCache>
                <c:ptCount val="1"/>
                <c:pt idx="0">
                  <c:v>Gross wages paid to females as % of total wages paid</c:v>
                </c:pt>
              </c:strCache>
            </c:strRef>
          </c:cat>
          <c:val>
            <c:numRef>
              <c:f>Gender_Pay_Gap_Tables!$F$5:$F$6</c:f>
              <c:numCache>
                <c:formatCode>0.0%</c:formatCode>
                <c:ptCount val="1"/>
                <c:pt idx="0">
                  <c:v>0.1</c:v>
                </c:pt>
              </c:numCache>
            </c:numRef>
          </c:val>
          <c:extLst>
            <c:ext xmlns:c16="http://schemas.microsoft.com/office/drawing/2014/chart" uri="{C3380CC4-5D6E-409C-BE32-E72D297353CC}">
              <c16:uniqueId val="{00000002-83F7-4EA6-9484-1BF620B63355}"/>
            </c:ext>
          </c:extLst>
        </c:ser>
        <c:dLbls>
          <c:dLblPos val="outEnd"/>
          <c:showLegendKey val="0"/>
          <c:showVal val="1"/>
          <c:showCatName val="0"/>
          <c:showSerName val="0"/>
          <c:showPercent val="0"/>
          <c:showBubbleSize val="0"/>
        </c:dLbls>
        <c:gapWidth val="219"/>
        <c:axId val="1702057615"/>
        <c:axId val="1702059055"/>
      </c:barChart>
      <c:catAx>
        <c:axId val="170205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059055"/>
        <c:crosses val="autoZero"/>
        <c:auto val="1"/>
        <c:lblAlgn val="ctr"/>
        <c:lblOffset val="100"/>
        <c:noMultiLvlLbl val="0"/>
      </c:catAx>
      <c:valAx>
        <c:axId val="170205905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05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[ITC_Social_Dataset_2026_Refi.xlsx]Sourcing_by_Location_Tables!PivotTable18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Sourcing_by_Location_Tables!$F$5</c:f>
              <c:strCache>
                <c:ptCount val="1"/>
                <c:pt idx="0">
                  <c:v>FY 2025-2026</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Sourcing_by_Location_Tables!$E$6:$E$10</c:f>
              <c:strCache>
                <c:ptCount val="4"/>
                <c:pt idx="0">
                  <c:v>Metropolitan</c:v>
                </c:pt>
                <c:pt idx="1">
                  <c:v>Rural</c:v>
                </c:pt>
                <c:pt idx="2">
                  <c:v>Semi-urban</c:v>
                </c:pt>
                <c:pt idx="3">
                  <c:v>Urban</c:v>
                </c:pt>
              </c:strCache>
            </c:strRef>
          </c:cat>
          <c:val>
            <c:numRef>
              <c:f>Sourcing_by_Location_Tables!$F$6:$F$10</c:f>
              <c:numCache>
                <c:formatCode>0.0%</c:formatCode>
                <c:ptCount val="4"/>
                <c:pt idx="0">
                  <c:v>0.56999999999999995</c:v>
                </c:pt>
                <c:pt idx="1">
                  <c:v>0.15</c:v>
                </c:pt>
                <c:pt idx="2">
                  <c:v>0.1</c:v>
                </c:pt>
                <c:pt idx="3">
                  <c:v>0.18</c:v>
                </c:pt>
              </c:numCache>
            </c:numRef>
          </c:val>
          <c:extLst>
            <c:ext xmlns:c16="http://schemas.microsoft.com/office/drawing/2014/chart" uri="{C3380CC4-5D6E-409C-BE32-E72D297353CC}">
              <c16:uniqueId val="{00000000-2BFE-450F-856D-BF41164B5AED}"/>
            </c:ext>
          </c:extLst>
        </c:ser>
        <c:ser>
          <c:idx val="1"/>
          <c:order val="1"/>
          <c:tx>
            <c:strRef>
              <c:f>Sourcing_by_Location_Tables!$G$5</c:f>
              <c:strCache>
                <c:ptCount val="1"/>
                <c:pt idx="0">
                  <c:v>FY 2024-2025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Sourcing_by_Location_Tables!$E$6:$E$10</c:f>
              <c:strCache>
                <c:ptCount val="4"/>
                <c:pt idx="0">
                  <c:v>Metropolitan</c:v>
                </c:pt>
                <c:pt idx="1">
                  <c:v>Rural</c:v>
                </c:pt>
                <c:pt idx="2">
                  <c:v>Semi-urban</c:v>
                </c:pt>
                <c:pt idx="3">
                  <c:v>Urban</c:v>
                </c:pt>
              </c:strCache>
            </c:strRef>
          </c:cat>
          <c:val>
            <c:numRef>
              <c:f>Sourcing_by_Location_Tables!$G$6:$G$10</c:f>
              <c:numCache>
                <c:formatCode>0.0%</c:formatCode>
                <c:ptCount val="4"/>
                <c:pt idx="0">
                  <c:v>0.57999999999999996</c:v>
                </c:pt>
                <c:pt idx="1">
                  <c:v>0.15</c:v>
                </c:pt>
                <c:pt idx="2">
                  <c:v>0.1</c:v>
                </c:pt>
                <c:pt idx="3">
                  <c:v>0.17</c:v>
                </c:pt>
              </c:numCache>
            </c:numRef>
          </c:val>
          <c:extLst>
            <c:ext xmlns:c16="http://schemas.microsoft.com/office/drawing/2014/chart" uri="{C3380CC4-5D6E-409C-BE32-E72D297353CC}">
              <c16:uniqueId val="{00000001-2BFE-450F-856D-BF41164B5AED}"/>
            </c:ext>
          </c:extLst>
        </c:ser>
        <c:dLbls>
          <c:dLblPos val="outEnd"/>
          <c:showLegendKey val="0"/>
          <c:showVal val="1"/>
          <c:showCatName val="0"/>
          <c:showSerName val="0"/>
          <c:showPercent val="0"/>
          <c:showBubbleSize val="0"/>
        </c:dLbls>
        <c:gapWidth val="182"/>
        <c:axId val="1705387151"/>
        <c:axId val="1705396271"/>
      </c:barChart>
      <c:catAx>
        <c:axId val="170538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96271"/>
        <c:crosses val="autoZero"/>
        <c:auto val="1"/>
        <c:lblAlgn val="ctr"/>
        <c:lblOffset val="100"/>
        <c:noMultiLvlLbl val="0"/>
      </c:catAx>
      <c:valAx>
        <c:axId val="170539627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38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[ITC_Social_Dataset_2026_Refi.xlsx]Sourcing_MSME_India_Tables!PivotTable19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Sourcing_MSME_India_Tables!$F$5</c:f>
              <c:strCache>
                <c:ptCount val="1"/>
                <c:pt idx="0">
                  <c:v> FY 2025-2026</c:v>
                </c:pt>
              </c:strCache>
            </c:strRef>
          </c:tx>
          <c:spPr>
            <a:solidFill>
              <a:schemeClr val="accent1"/>
            </a:solidFill>
            <a:ln>
              <a:noFill/>
            </a:ln>
            <a:effectLst/>
          </c:spPr>
          <c:invertIfNegative val="0"/>
          <c:cat>
            <c:strRef>
              <c:f>Sourcing_MSME_India_Tables!$E$6:$E$8</c:f>
              <c:strCache>
                <c:ptCount val="2"/>
                <c:pt idx="0">
                  <c:v>Directly from within India</c:v>
                </c:pt>
                <c:pt idx="1">
                  <c:v>Directly sourced from MSMEs/small producers</c:v>
                </c:pt>
              </c:strCache>
            </c:strRef>
          </c:cat>
          <c:val>
            <c:numRef>
              <c:f>Sourcing_MSME_India_Tables!$F$6:$F$8</c:f>
              <c:numCache>
                <c:formatCode>0.0%</c:formatCode>
                <c:ptCount val="2"/>
                <c:pt idx="0">
                  <c:v>0.92589999999999995</c:v>
                </c:pt>
                <c:pt idx="1">
                  <c:v>0.32379999999999998</c:v>
                </c:pt>
              </c:numCache>
            </c:numRef>
          </c:val>
          <c:extLst>
            <c:ext xmlns:c16="http://schemas.microsoft.com/office/drawing/2014/chart" uri="{C3380CC4-5D6E-409C-BE32-E72D297353CC}">
              <c16:uniqueId val="{00000000-59F5-46DF-AAA0-48556CE81E87}"/>
            </c:ext>
          </c:extLst>
        </c:ser>
        <c:ser>
          <c:idx val="1"/>
          <c:order val="1"/>
          <c:tx>
            <c:strRef>
              <c:f>Sourcing_MSME_India_Tables!$G$5</c:f>
              <c:strCache>
                <c:ptCount val="1"/>
                <c:pt idx="0">
                  <c:v>FY 2024-2025</c:v>
                </c:pt>
              </c:strCache>
            </c:strRef>
          </c:tx>
          <c:spPr>
            <a:solidFill>
              <a:schemeClr val="accent2"/>
            </a:solidFill>
            <a:ln>
              <a:noFill/>
            </a:ln>
            <a:effectLst/>
          </c:spPr>
          <c:invertIfNegative val="0"/>
          <c:cat>
            <c:strRef>
              <c:f>Sourcing_MSME_India_Tables!$E$6:$E$8</c:f>
              <c:strCache>
                <c:ptCount val="2"/>
                <c:pt idx="0">
                  <c:v>Directly from within India</c:v>
                </c:pt>
                <c:pt idx="1">
                  <c:v>Directly sourced from MSMEs/small producers</c:v>
                </c:pt>
              </c:strCache>
            </c:strRef>
          </c:cat>
          <c:val>
            <c:numRef>
              <c:f>Sourcing_MSME_India_Tables!$G$6:$G$8</c:f>
              <c:numCache>
                <c:formatCode>0.0%</c:formatCode>
                <c:ptCount val="2"/>
                <c:pt idx="0">
                  <c:v>0.92859999999999998</c:v>
                </c:pt>
                <c:pt idx="1">
                  <c:v>0.29720000000000002</c:v>
                </c:pt>
              </c:numCache>
            </c:numRef>
          </c:val>
          <c:extLst>
            <c:ext xmlns:c16="http://schemas.microsoft.com/office/drawing/2014/chart" uri="{C3380CC4-5D6E-409C-BE32-E72D297353CC}">
              <c16:uniqueId val="{00000001-59F5-46DF-AAA0-48556CE81E87}"/>
            </c:ext>
          </c:extLst>
        </c:ser>
        <c:dLbls>
          <c:showLegendKey val="0"/>
          <c:showVal val="0"/>
          <c:showCatName val="0"/>
          <c:showSerName val="0"/>
          <c:showPercent val="0"/>
          <c:showBubbleSize val="0"/>
        </c:dLbls>
        <c:gapWidth val="182"/>
        <c:axId val="936641663"/>
        <c:axId val="936642143"/>
      </c:barChart>
      <c:catAx>
        <c:axId val="93664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42143"/>
        <c:crosses val="autoZero"/>
        <c:auto val="1"/>
        <c:lblAlgn val="ctr"/>
        <c:lblOffset val="100"/>
        <c:noMultiLvlLbl val="0"/>
      </c:catAx>
      <c:valAx>
        <c:axId val="936642143"/>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6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[ITC_Social_Dataset_2026_Refi.xlsx]CSR_Aspirational_Dist_Tables!PivotTable20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521981627296588"/>
          <c:y val="0.30555555555555558"/>
          <c:w val="0.52871303587051621"/>
          <c:h val="0.58704505686789155"/>
        </c:manualLayout>
      </c:layout>
      <c:barChart>
        <c:barDir val="bar"/>
        <c:grouping val="clustered"/>
        <c:varyColors val="0"/>
        <c:ser>
          <c:idx val="0"/>
          <c:order val="0"/>
          <c:tx>
            <c:strRef>
              <c:f>CSR_Aspirational_Dist_Tables!$E$5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CSR_Aspirational_Dist_Tables!$D$6:$D$20</c:f>
              <c:strCache>
                <c:ptCount val="14"/>
                <c:pt idx="0">
                  <c:v>Assam – Darrang</c:v>
                </c:pt>
                <c:pt idx="1">
                  <c:v>Bihar – Begusarai</c:v>
                </c:pt>
                <c:pt idx="2">
                  <c:v>Chhattisgarh – Sukma</c:v>
                </c:pt>
                <c:pt idx="3">
                  <c:v>Madhya Pradesh – Vidisha</c:v>
                </c:pt>
                <c:pt idx="4">
                  <c:v>Maharashtra – Nandurbar</c:v>
                </c:pt>
                <c:pt idx="5">
                  <c:v>Maharashtra – Washim</c:v>
                </c:pt>
                <c:pt idx="6">
                  <c:v>Multiple* (17 States) – Multiple*</c:v>
                </c:pt>
                <c:pt idx="7">
                  <c:v>Odisha – Malkangiri</c:v>
                </c:pt>
                <c:pt idx="8">
                  <c:v>Rajasthan – Baran</c:v>
                </c:pt>
                <c:pt idx="9">
                  <c:v>Rajasthan – Jaisalmer</c:v>
                </c:pt>
                <c:pt idx="10">
                  <c:v>Telangana – Bhadradri Kothagudem</c:v>
                </c:pt>
                <c:pt idx="11">
                  <c:v>Uttar Pradesh – Bahraich</c:v>
                </c:pt>
                <c:pt idx="12">
                  <c:v>Uttar Pradesh – Chandauli</c:v>
                </c:pt>
                <c:pt idx="13">
                  <c:v>Uttarakhand – Haridwar</c:v>
                </c:pt>
              </c:strCache>
            </c:strRef>
          </c:cat>
          <c:val>
            <c:numRef>
              <c:f>CSR_Aspirational_Dist_Tables!$E$6:$E$20</c:f>
              <c:numCache>
                <c:formatCode>#,##0.##</c:formatCode>
                <c:ptCount val="14"/>
                <c:pt idx="0">
                  <c:v>275.08</c:v>
                </c:pt>
                <c:pt idx="1">
                  <c:v>256.31</c:v>
                </c:pt>
                <c:pt idx="2">
                  <c:v>123.17</c:v>
                </c:pt>
                <c:pt idx="3">
                  <c:v>302.13</c:v>
                </c:pt>
                <c:pt idx="4">
                  <c:v>114.4</c:v>
                </c:pt>
                <c:pt idx="5">
                  <c:v>141.11000000000001</c:v>
                </c:pt>
                <c:pt idx="6">
                  <c:v>1016.94</c:v>
                </c:pt>
                <c:pt idx="7">
                  <c:v>305.98</c:v>
                </c:pt>
                <c:pt idx="8">
                  <c:v>177.44</c:v>
                </c:pt>
                <c:pt idx="9">
                  <c:v>229.68</c:v>
                </c:pt>
                <c:pt idx="10">
                  <c:v>2992.35</c:v>
                </c:pt>
                <c:pt idx="11">
                  <c:v>217.66</c:v>
                </c:pt>
                <c:pt idx="12">
                  <c:v>172.86</c:v>
                </c:pt>
                <c:pt idx="13">
                  <c:v>624.5</c:v>
                </c:pt>
              </c:numCache>
            </c:numRef>
          </c:val>
          <c:extLst>
            <c:ext xmlns:c16="http://schemas.microsoft.com/office/drawing/2014/chart" uri="{C3380CC4-5D6E-409C-BE32-E72D297353CC}">
              <c16:uniqueId val="{00000000-EEB5-474C-8B8B-C5A916D498EA}"/>
            </c:ext>
          </c:extLst>
        </c:ser>
        <c:dLbls>
          <c:showLegendKey val="0"/>
          <c:showVal val="0"/>
          <c:showCatName val="0"/>
          <c:showSerName val="0"/>
          <c:showPercent val="0"/>
          <c:showBubbleSize val="0"/>
        </c:dLbls>
        <c:gapWidth val="150"/>
        <c:axId val="1362046015"/>
        <c:axId val="1364817631"/>
      </c:barChart>
      <c:valAx>
        <c:axId val="13648176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46015"/>
        <c:crosses val="autoZero"/>
        <c:crossBetween val="between"/>
      </c:valAx>
      <c:catAx>
        <c:axId val="136204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81763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[ITC_Social_Dataset_2026_Refi.xlsx]CSR_Beneficiaries_Tables!PivotTable21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CSR_Beneficiaries_Tables!$E$5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CSR_Beneficiaries_Tables!$D$6:$D$15</c:f>
              <c:strCache>
                <c:ptCount val="9"/>
                <c:pt idx="0">
                  <c:v>Climate Smart Agriculture</c:v>
                </c:pt>
                <c:pt idx="1">
                  <c:v>Improving Health &amp; Sanitation - Maternal And Child Health And Nutrition</c:v>
                </c:pt>
                <c:pt idx="2">
                  <c:v>Improving Health &amp; Sanitation - Waste Management</c:v>
                </c:pt>
                <c:pt idx="3">
                  <c:v>Natural Resources Management - Water Stewardship</c:v>
                </c:pt>
                <c:pt idx="4">
                  <c:v>Off-Farm Livelihood Diversification - Improved Animal Husbandry Practices</c:v>
                </c:pt>
                <c:pt idx="5">
                  <c:v>On-Farm Livelihood Diversification - Social Forestry</c:v>
                </c:pt>
                <c:pt idx="6">
                  <c:v>Skilling Of Youth</c:v>
                </c:pt>
                <c:pt idx="7">
                  <c:v>Support To Education</c:v>
                </c:pt>
                <c:pt idx="8">
                  <c:v>Women Empowerment</c:v>
                </c:pt>
              </c:strCache>
            </c:strRef>
          </c:cat>
          <c:val>
            <c:numRef>
              <c:f>CSR_Beneficiaries_Tables!$E$6:$E$15</c:f>
              <c:numCache>
                <c:formatCode>#,##0.##</c:formatCode>
                <c:ptCount val="9"/>
                <c:pt idx="0">
                  <c:v>1209000</c:v>
                </c:pt>
                <c:pt idx="1">
                  <c:v>1700000</c:v>
                </c:pt>
                <c:pt idx="2">
                  <c:v>713000</c:v>
                </c:pt>
                <c:pt idx="3">
                  <c:v>66870</c:v>
                </c:pt>
                <c:pt idx="4">
                  <c:v>216000</c:v>
                </c:pt>
                <c:pt idx="5">
                  <c:v>8950</c:v>
                </c:pt>
                <c:pt idx="6">
                  <c:v>17600</c:v>
                </c:pt>
                <c:pt idx="7">
                  <c:v>1094000</c:v>
                </c:pt>
                <c:pt idx="8">
                  <c:v>948000</c:v>
                </c:pt>
              </c:numCache>
            </c:numRef>
          </c:val>
          <c:extLst>
            <c:ext xmlns:c16="http://schemas.microsoft.com/office/drawing/2014/chart" uri="{C3380CC4-5D6E-409C-BE32-E72D297353CC}">
              <c16:uniqueId val="{00000000-E6AB-4F09-BB4D-75CCE0D80E80}"/>
            </c:ext>
          </c:extLst>
        </c:ser>
        <c:dLbls>
          <c:dLblPos val="outEnd"/>
          <c:showLegendKey val="0"/>
          <c:showVal val="1"/>
          <c:showCatName val="0"/>
          <c:showSerName val="0"/>
          <c:showPercent val="0"/>
          <c:showBubbleSize val="0"/>
        </c:dLbls>
        <c:gapWidth val="182"/>
        <c:axId val="1719919263"/>
        <c:axId val="1719923583"/>
      </c:barChart>
      <c:catAx>
        <c:axId val="1719919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23583"/>
        <c:crosses val="autoZero"/>
        <c:auto val="1"/>
        <c:lblAlgn val="ctr"/>
        <c:lblOffset val="100"/>
        <c:noMultiLvlLbl val="0"/>
      </c:catAx>
      <c:valAx>
        <c:axId val="171992358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91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drawing1.xml><?xml version="1.0" encoding="utf-8"?>
<xdr:wsDr xmlns:xdr="http://schemas.openxmlformats.org/drawingml/2006/spreadsheetDrawing" xmlns:a="http://schemas.openxmlformats.org/drawingml/2006/main">
  <xdr:twoCellAnchor>
    <xdr:from>
      <xdr:col>0</xdr:col>
      <xdr:colOff>48846</xdr:colOff>
      <xdr:row>6</xdr:row>
      <xdr:rowOff>19539</xdr:rowOff>
    </xdr:from>
    <xdr:to>
      <xdr:col>3</xdr:col>
      <xdr:colOff>566615</xdr:colOff>
      <xdr:row>12</xdr:row>
      <xdr:rowOff>0</xdr:rowOff>
    </xdr:to>
    <xdr:sp macro="" textlink="">
      <xdr:nvSpPr>
        <xdr:cNvPr id="2" name="Rectangle 1">
          <a:extLst>
            <a:ext uri="{FF2B5EF4-FFF2-40B4-BE49-F238E27FC236}">
              <a16:creationId xmlns:a16="http://schemas.microsoft.com/office/drawing/2014/main" id="{068D07E5-131E-46BE-880A-0911FBF09B48}"/>
            </a:ext>
          </a:extLst>
        </xdr:cNvPr>
        <xdr:cNvSpPr/>
      </xdr:nvSpPr>
      <xdr:spPr>
        <a:xfrm>
          <a:off x="48846" y="575799"/>
          <a:ext cx="2346569" cy="1077741"/>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 Total Employees</a:t>
          </a:r>
        </a:p>
        <a:p>
          <a:pPr algn="ctr"/>
          <a:r>
            <a:rPr lang="en-IN" sz="2000" b="1"/>
            <a:t>11,442</a:t>
          </a:r>
        </a:p>
      </xdr:txBody>
    </xdr:sp>
    <xdr:clientData/>
  </xdr:twoCellAnchor>
  <xdr:twoCellAnchor>
    <xdr:from>
      <xdr:col>4</xdr:col>
      <xdr:colOff>0</xdr:colOff>
      <xdr:row>6</xdr:row>
      <xdr:rowOff>0</xdr:rowOff>
    </xdr:from>
    <xdr:to>
      <xdr:col>7</xdr:col>
      <xdr:colOff>517769</xdr:colOff>
      <xdr:row>12</xdr:row>
      <xdr:rowOff>0</xdr:rowOff>
    </xdr:to>
    <xdr:sp macro="" textlink="">
      <xdr:nvSpPr>
        <xdr:cNvPr id="3" name="Rectangle 2">
          <a:extLst>
            <a:ext uri="{FF2B5EF4-FFF2-40B4-BE49-F238E27FC236}">
              <a16:creationId xmlns:a16="http://schemas.microsoft.com/office/drawing/2014/main" id="{370C3502-A5B6-4AC8-BE9B-82BCF5D4E72D}"/>
            </a:ext>
          </a:extLst>
        </xdr:cNvPr>
        <xdr:cNvSpPr/>
      </xdr:nvSpPr>
      <xdr:spPr>
        <a:xfrm>
          <a:off x="2438400" y="556260"/>
          <a:ext cx="2346569" cy="1097280"/>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Female Employees</a:t>
          </a:r>
        </a:p>
        <a:p>
          <a:pPr algn="ctr"/>
          <a:r>
            <a:rPr lang="en-IN" sz="2000" b="1"/>
            <a:t>2,080</a:t>
          </a:r>
        </a:p>
      </xdr:txBody>
    </xdr:sp>
    <xdr:clientData/>
  </xdr:twoCellAnchor>
  <xdr:twoCellAnchor>
    <xdr:from>
      <xdr:col>8</xdr:col>
      <xdr:colOff>0</xdr:colOff>
      <xdr:row>6</xdr:row>
      <xdr:rowOff>0</xdr:rowOff>
    </xdr:from>
    <xdr:to>
      <xdr:col>11</xdr:col>
      <xdr:colOff>517769</xdr:colOff>
      <xdr:row>11</xdr:row>
      <xdr:rowOff>166255</xdr:rowOff>
    </xdr:to>
    <xdr:sp macro="" textlink="">
      <xdr:nvSpPr>
        <xdr:cNvPr id="4" name="Rectangle 3">
          <a:extLst>
            <a:ext uri="{FF2B5EF4-FFF2-40B4-BE49-F238E27FC236}">
              <a16:creationId xmlns:a16="http://schemas.microsoft.com/office/drawing/2014/main" id="{312D6463-2781-456B-B083-C49F2574139A}"/>
            </a:ext>
          </a:extLst>
        </xdr:cNvPr>
        <xdr:cNvSpPr/>
      </xdr:nvSpPr>
      <xdr:spPr>
        <a:xfrm>
          <a:off x="4876800" y="556260"/>
          <a:ext cx="2346569" cy="1080655"/>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Maternity Benefits Coverage</a:t>
          </a:r>
        </a:p>
        <a:p>
          <a:pPr algn="ctr"/>
          <a:r>
            <a:rPr lang="en-IN" sz="2000" b="1"/>
            <a:t>100%</a:t>
          </a:r>
        </a:p>
      </xdr:txBody>
    </xdr:sp>
    <xdr:clientData/>
  </xdr:twoCellAnchor>
  <xdr:twoCellAnchor>
    <xdr:from>
      <xdr:col>12</xdr:col>
      <xdr:colOff>0</xdr:colOff>
      <xdr:row>6</xdr:row>
      <xdr:rowOff>0</xdr:rowOff>
    </xdr:from>
    <xdr:to>
      <xdr:col>15</xdr:col>
      <xdr:colOff>517769</xdr:colOff>
      <xdr:row>12</xdr:row>
      <xdr:rowOff>0</xdr:rowOff>
    </xdr:to>
    <xdr:sp macro="" textlink="">
      <xdr:nvSpPr>
        <xdr:cNvPr id="5" name="Rectangle 4">
          <a:extLst>
            <a:ext uri="{FF2B5EF4-FFF2-40B4-BE49-F238E27FC236}">
              <a16:creationId xmlns:a16="http://schemas.microsoft.com/office/drawing/2014/main" id="{A1A4331A-DAFC-4984-BD8F-5F44ED84B703}"/>
            </a:ext>
          </a:extLst>
        </xdr:cNvPr>
        <xdr:cNvSpPr/>
      </xdr:nvSpPr>
      <xdr:spPr>
        <a:xfrm>
          <a:off x="7315200" y="556260"/>
          <a:ext cx="2346569" cy="1097280"/>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🏥Health Insurance</a:t>
          </a:r>
        </a:p>
        <a:p>
          <a:pPr algn="ctr"/>
          <a:r>
            <a:rPr lang="en-IN" sz="2000" b="1"/>
            <a:t>100%</a:t>
          </a:r>
        </a:p>
      </xdr:txBody>
    </xdr:sp>
    <xdr:clientData/>
  </xdr:twoCellAnchor>
  <xdr:twoCellAnchor>
    <xdr:from>
      <xdr:col>16</xdr:col>
      <xdr:colOff>0</xdr:colOff>
      <xdr:row>6</xdr:row>
      <xdr:rowOff>0</xdr:rowOff>
    </xdr:from>
    <xdr:to>
      <xdr:col>19</xdr:col>
      <xdr:colOff>517769</xdr:colOff>
      <xdr:row>12</xdr:row>
      <xdr:rowOff>0</xdr:rowOff>
    </xdr:to>
    <xdr:sp macro="" textlink="">
      <xdr:nvSpPr>
        <xdr:cNvPr id="6" name="Rectangle 5">
          <a:extLst>
            <a:ext uri="{FF2B5EF4-FFF2-40B4-BE49-F238E27FC236}">
              <a16:creationId xmlns:a16="http://schemas.microsoft.com/office/drawing/2014/main" id="{2E13BFE4-E285-48E8-B990-D1FF638C3337}"/>
            </a:ext>
          </a:extLst>
        </xdr:cNvPr>
        <xdr:cNvSpPr/>
      </xdr:nvSpPr>
      <xdr:spPr>
        <a:xfrm>
          <a:off x="9753600" y="556260"/>
          <a:ext cx="2346569" cy="1097280"/>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🔄Return to Work</a:t>
          </a:r>
        </a:p>
        <a:p>
          <a:pPr algn="ctr"/>
          <a:r>
            <a:rPr lang="en-IN" sz="2000" b="1"/>
            <a:t>100%</a:t>
          </a:r>
        </a:p>
      </xdr:txBody>
    </xdr:sp>
    <xdr:clientData/>
  </xdr:twoCellAnchor>
  <xdr:twoCellAnchor>
    <xdr:from>
      <xdr:col>20</xdr:col>
      <xdr:colOff>0</xdr:colOff>
      <xdr:row>6</xdr:row>
      <xdr:rowOff>0</xdr:rowOff>
    </xdr:from>
    <xdr:to>
      <xdr:col>23</xdr:col>
      <xdr:colOff>517769</xdr:colOff>
      <xdr:row>12</xdr:row>
      <xdr:rowOff>0</xdr:rowOff>
    </xdr:to>
    <xdr:sp macro="" textlink="">
      <xdr:nvSpPr>
        <xdr:cNvPr id="7" name="Rectangle 6">
          <a:extLst>
            <a:ext uri="{FF2B5EF4-FFF2-40B4-BE49-F238E27FC236}">
              <a16:creationId xmlns:a16="http://schemas.microsoft.com/office/drawing/2014/main" id="{6CAB2B4C-A380-4B89-9E26-CBD0F36B6206}"/>
            </a:ext>
          </a:extLst>
        </xdr:cNvPr>
        <xdr:cNvSpPr/>
      </xdr:nvSpPr>
      <xdr:spPr>
        <a:xfrm>
          <a:off x="12192000" y="556260"/>
          <a:ext cx="2346569" cy="1097280"/>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LTIFR</a:t>
          </a:r>
        </a:p>
        <a:p>
          <a:pPr algn="ctr"/>
          <a:r>
            <a:rPr lang="en-IN" sz="2000" b="1"/>
            <a:t>0.02</a:t>
          </a:r>
        </a:p>
      </xdr:txBody>
    </xdr:sp>
    <xdr:clientData/>
  </xdr:twoCellAnchor>
  <xdr:twoCellAnchor>
    <xdr:from>
      <xdr:col>24</xdr:col>
      <xdr:colOff>0</xdr:colOff>
      <xdr:row>6</xdr:row>
      <xdr:rowOff>0</xdr:rowOff>
    </xdr:from>
    <xdr:to>
      <xdr:col>28</xdr:col>
      <xdr:colOff>16933</xdr:colOff>
      <xdr:row>11</xdr:row>
      <xdr:rowOff>166255</xdr:rowOff>
    </xdr:to>
    <xdr:sp macro="" textlink="">
      <xdr:nvSpPr>
        <xdr:cNvPr id="8" name="Rectangle 7">
          <a:extLst>
            <a:ext uri="{FF2B5EF4-FFF2-40B4-BE49-F238E27FC236}">
              <a16:creationId xmlns:a16="http://schemas.microsoft.com/office/drawing/2014/main" id="{A7B95D10-1153-4D9E-A184-7FBE2EF7BD8A}"/>
            </a:ext>
          </a:extLst>
        </xdr:cNvPr>
        <xdr:cNvSpPr/>
      </xdr:nvSpPr>
      <xdr:spPr>
        <a:xfrm>
          <a:off x="14630400" y="558800"/>
          <a:ext cx="2455333" cy="1097588"/>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Employee Fatalities</a:t>
          </a:r>
        </a:p>
        <a:p>
          <a:pPr algn="ctr"/>
          <a:r>
            <a:rPr lang="en-IN" sz="2000" b="1"/>
            <a:t>0</a:t>
          </a:r>
        </a:p>
      </xdr:txBody>
    </xdr:sp>
    <xdr:clientData/>
  </xdr:twoCellAnchor>
  <xdr:twoCellAnchor>
    <xdr:from>
      <xdr:col>28</xdr:col>
      <xdr:colOff>84666</xdr:colOff>
      <xdr:row>6</xdr:row>
      <xdr:rowOff>0</xdr:rowOff>
    </xdr:from>
    <xdr:to>
      <xdr:col>31</xdr:col>
      <xdr:colOff>524934</xdr:colOff>
      <xdr:row>12</xdr:row>
      <xdr:rowOff>0</xdr:rowOff>
    </xdr:to>
    <xdr:sp macro="" textlink="">
      <xdr:nvSpPr>
        <xdr:cNvPr id="9" name="Rectangle 8">
          <a:extLst>
            <a:ext uri="{FF2B5EF4-FFF2-40B4-BE49-F238E27FC236}">
              <a16:creationId xmlns:a16="http://schemas.microsoft.com/office/drawing/2014/main" id="{B98500D6-A0F7-4D94-A5D5-BCF24509F485}"/>
            </a:ext>
          </a:extLst>
        </xdr:cNvPr>
        <xdr:cNvSpPr/>
      </xdr:nvSpPr>
      <xdr:spPr>
        <a:xfrm>
          <a:off x="17153466" y="558800"/>
          <a:ext cx="2269068" cy="1117600"/>
        </a:xfrm>
        <a:prstGeom prst="rect">
          <a:avLst/>
        </a:prstGeom>
        <a:solidFill>
          <a:srgbClr val="00AA4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 Worker Union Membership</a:t>
          </a:r>
        </a:p>
        <a:p>
          <a:pPr algn="ctr"/>
          <a:r>
            <a:rPr lang="en-IN" sz="2000" b="1"/>
            <a:t>86%</a:t>
          </a:r>
        </a:p>
      </xdr:txBody>
    </xdr:sp>
    <xdr:clientData/>
  </xdr:twoCellAnchor>
  <xdr:twoCellAnchor>
    <xdr:from>
      <xdr:col>0</xdr:col>
      <xdr:colOff>21771</xdr:colOff>
      <xdr:row>12</xdr:row>
      <xdr:rowOff>43542</xdr:rowOff>
    </xdr:from>
    <xdr:to>
      <xdr:col>5</xdr:col>
      <xdr:colOff>203200</xdr:colOff>
      <xdr:row>24</xdr:row>
      <xdr:rowOff>10885</xdr:rowOff>
    </xdr:to>
    <xdr:graphicFrame macro="">
      <xdr:nvGraphicFramePr>
        <xdr:cNvPr id="10" name="Chart 9">
          <a:extLst>
            <a:ext uri="{FF2B5EF4-FFF2-40B4-BE49-F238E27FC236}">
              <a16:creationId xmlns:a16="http://schemas.microsoft.com/office/drawing/2014/main" id="{5D7D0B55-5CA6-4874-BA5D-3CFACBF93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266701</xdr:colOff>
      <xdr:row>12</xdr:row>
      <xdr:rowOff>43543</xdr:rowOff>
    </xdr:from>
    <xdr:to>
      <xdr:col>10</xdr:col>
      <xdr:colOff>342901</xdr:colOff>
      <xdr:row>24</xdr:row>
      <xdr:rowOff>10885</xdr:rowOff>
    </xdr:to>
    <xdr:graphicFrame macro="">
      <xdr:nvGraphicFramePr>
        <xdr:cNvPr id="11" name="Chart 10">
          <a:extLst>
            <a:ext uri="{FF2B5EF4-FFF2-40B4-BE49-F238E27FC236}">
              <a16:creationId xmlns:a16="http://schemas.microsoft.com/office/drawing/2014/main" id="{BF669F22-72F1-44F7-9D69-D9269B705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457201</xdr:colOff>
      <xdr:row>12</xdr:row>
      <xdr:rowOff>41728</xdr:rowOff>
    </xdr:from>
    <xdr:to>
      <xdr:col>15</xdr:col>
      <xdr:colOff>509815</xdr:colOff>
      <xdr:row>23</xdr:row>
      <xdr:rowOff>165099</xdr:rowOff>
    </xdr:to>
    <xdr:graphicFrame macro="">
      <xdr:nvGraphicFramePr>
        <xdr:cNvPr id="12" name="Chart 11">
          <a:extLst>
            <a:ext uri="{FF2B5EF4-FFF2-40B4-BE49-F238E27FC236}">
              <a16:creationId xmlns:a16="http://schemas.microsoft.com/office/drawing/2014/main" id="{151D977D-30EF-4056-8CCF-16151B4BD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12</xdr:row>
      <xdr:rowOff>60960</xdr:rowOff>
    </xdr:from>
    <xdr:to>
      <xdr:col>21</xdr:col>
      <xdr:colOff>15240</xdr:colOff>
      <xdr:row>24</xdr:row>
      <xdr:rowOff>0</xdr:rowOff>
    </xdr:to>
    <xdr:graphicFrame macro="">
      <xdr:nvGraphicFramePr>
        <xdr:cNvPr id="13" name="Chart 12">
          <a:extLst>
            <a:ext uri="{FF2B5EF4-FFF2-40B4-BE49-F238E27FC236}">
              <a16:creationId xmlns:a16="http://schemas.microsoft.com/office/drawing/2014/main" id="{712D24EF-DD6C-485E-AA13-86E48938B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30479</xdr:colOff>
      <xdr:row>12</xdr:row>
      <xdr:rowOff>45721</xdr:rowOff>
    </xdr:from>
    <xdr:to>
      <xdr:col>5</xdr:col>
      <xdr:colOff>186266</xdr:colOff>
      <xdr:row>14</xdr:row>
      <xdr:rowOff>84668</xdr:rowOff>
    </xdr:to>
    <xdr:sp macro="" textlink="">
      <xdr:nvSpPr>
        <xdr:cNvPr id="14" name="TextBox 13">
          <a:extLst>
            <a:ext uri="{FF2B5EF4-FFF2-40B4-BE49-F238E27FC236}">
              <a16:creationId xmlns:a16="http://schemas.microsoft.com/office/drawing/2014/main" id="{32B2BB7B-C161-62C6-1439-306CD960AFE3}"/>
            </a:ext>
          </a:extLst>
        </xdr:cNvPr>
        <xdr:cNvSpPr txBox="1"/>
      </xdr:nvSpPr>
      <xdr:spPr>
        <a:xfrm>
          <a:off x="30479" y="1722121"/>
          <a:ext cx="3203787" cy="411480"/>
        </a:xfrm>
        <a:prstGeom prst="rect">
          <a:avLst/>
        </a:prstGeom>
        <a:solidFill>
          <a:srgbClr val="37441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bg1"/>
              </a:solidFill>
              <a:effectLst/>
              <a:latin typeface="+mn-lt"/>
              <a:ea typeface="+mn-ea"/>
              <a:cs typeface="+mn-cs"/>
            </a:rPr>
            <a:t>EMPLOYEES - </a:t>
          </a:r>
          <a:r>
            <a:rPr lang="en-IN" sz="1800" b="1">
              <a:solidFill>
                <a:schemeClr val="bg1"/>
              </a:solidFill>
            </a:rPr>
            <a:t>PERMANENT</a:t>
          </a:r>
          <a:r>
            <a:rPr lang="en-IN" sz="1800" b="1"/>
            <a:t> </a:t>
          </a:r>
        </a:p>
      </xdr:txBody>
    </xdr:sp>
    <xdr:clientData/>
  </xdr:twoCellAnchor>
  <xdr:twoCellAnchor>
    <xdr:from>
      <xdr:col>21</xdr:col>
      <xdr:colOff>121920</xdr:colOff>
      <xdr:row>12</xdr:row>
      <xdr:rowOff>60960</xdr:rowOff>
    </xdr:from>
    <xdr:to>
      <xdr:col>26</xdr:col>
      <xdr:colOff>274320</xdr:colOff>
      <xdr:row>24</xdr:row>
      <xdr:rowOff>15240</xdr:rowOff>
    </xdr:to>
    <xdr:graphicFrame macro="">
      <xdr:nvGraphicFramePr>
        <xdr:cNvPr id="15" name="Chart 14">
          <a:extLst>
            <a:ext uri="{FF2B5EF4-FFF2-40B4-BE49-F238E27FC236}">
              <a16:creationId xmlns:a16="http://schemas.microsoft.com/office/drawing/2014/main" id="{BB0C1BBE-009C-4273-929C-1A44085B8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350520</xdr:colOff>
      <xdr:row>12</xdr:row>
      <xdr:rowOff>45720</xdr:rowOff>
    </xdr:from>
    <xdr:to>
      <xdr:col>31</xdr:col>
      <xdr:colOff>524933</xdr:colOff>
      <xdr:row>24</xdr:row>
      <xdr:rowOff>15240</xdr:rowOff>
    </xdr:to>
    <xdr:graphicFrame macro="">
      <xdr:nvGraphicFramePr>
        <xdr:cNvPr id="16" name="Chart 15">
          <a:extLst>
            <a:ext uri="{FF2B5EF4-FFF2-40B4-BE49-F238E27FC236}">
              <a16:creationId xmlns:a16="http://schemas.microsoft.com/office/drawing/2014/main" id="{963CC25F-B176-4075-B91C-E67EA056D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24</xdr:row>
      <xdr:rowOff>67733</xdr:rowOff>
    </xdr:from>
    <xdr:to>
      <xdr:col>8</xdr:col>
      <xdr:colOff>0</xdr:colOff>
      <xdr:row>39</xdr:row>
      <xdr:rowOff>67733</xdr:rowOff>
    </xdr:to>
    <xdr:graphicFrame macro="">
      <xdr:nvGraphicFramePr>
        <xdr:cNvPr id="17" name="Chart 16">
          <a:extLst>
            <a:ext uri="{FF2B5EF4-FFF2-40B4-BE49-F238E27FC236}">
              <a16:creationId xmlns:a16="http://schemas.microsoft.com/office/drawing/2014/main" id="{3A69ACB9-3E0C-43BC-A884-78AFEC3EF4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67734</xdr:colOff>
      <xdr:row>24</xdr:row>
      <xdr:rowOff>67733</xdr:rowOff>
    </xdr:from>
    <xdr:to>
      <xdr:col>15</xdr:col>
      <xdr:colOff>508000</xdr:colOff>
      <xdr:row>39</xdr:row>
      <xdr:rowOff>84666</xdr:rowOff>
    </xdr:to>
    <xdr:graphicFrame macro="">
      <xdr:nvGraphicFramePr>
        <xdr:cNvPr id="18" name="Chart 17">
          <a:extLst>
            <a:ext uri="{FF2B5EF4-FFF2-40B4-BE49-F238E27FC236}">
              <a16:creationId xmlns:a16="http://schemas.microsoft.com/office/drawing/2014/main" id="{420FD69B-3AF6-4F93-873F-F62D3C900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16932</xdr:colOff>
      <xdr:row>24</xdr:row>
      <xdr:rowOff>50799</xdr:rowOff>
    </xdr:from>
    <xdr:to>
      <xdr:col>24</xdr:col>
      <xdr:colOff>50799</xdr:colOff>
      <xdr:row>39</xdr:row>
      <xdr:rowOff>84666</xdr:rowOff>
    </xdr:to>
    <xdr:graphicFrame macro="">
      <xdr:nvGraphicFramePr>
        <xdr:cNvPr id="19" name="Chart 18">
          <a:extLst>
            <a:ext uri="{FF2B5EF4-FFF2-40B4-BE49-F238E27FC236}">
              <a16:creationId xmlns:a16="http://schemas.microsoft.com/office/drawing/2014/main" id="{249D2CC4-FDBD-4DF0-95A3-42FCA7E1F2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24</xdr:col>
      <xdr:colOff>135468</xdr:colOff>
      <xdr:row>24</xdr:row>
      <xdr:rowOff>67733</xdr:rowOff>
    </xdr:from>
    <xdr:to>
      <xdr:col>31</xdr:col>
      <xdr:colOff>491068</xdr:colOff>
      <xdr:row>39</xdr:row>
      <xdr:rowOff>84666</xdr:rowOff>
    </xdr:to>
    <xdr:graphicFrame macro="">
      <xdr:nvGraphicFramePr>
        <xdr:cNvPr id="20" name="Chart 19">
          <a:extLst>
            <a:ext uri="{FF2B5EF4-FFF2-40B4-BE49-F238E27FC236}">
              <a16:creationId xmlns:a16="http://schemas.microsoft.com/office/drawing/2014/main" id="{63A82C8B-3F09-4A23-9B59-89C10669B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39</xdr:row>
      <xdr:rowOff>152400</xdr:rowOff>
    </xdr:from>
    <xdr:to>
      <xdr:col>15</xdr:col>
      <xdr:colOff>491066</xdr:colOff>
      <xdr:row>61</xdr:row>
      <xdr:rowOff>169333</xdr:rowOff>
    </xdr:to>
    <xdr:graphicFrame macro="">
      <xdr:nvGraphicFramePr>
        <xdr:cNvPr id="21" name="Chart 20">
          <a:extLst>
            <a:ext uri="{FF2B5EF4-FFF2-40B4-BE49-F238E27FC236}">
              <a16:creationId xmlns:a16="http://schemas.microsoft.com/office/drawing/2014/main" id="{BB97A10A-5E6A-475F-B424-C9A34C135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406398</xdr:colOff>
      <xdr:row>62</xdr:row>
      <xdr:rowOff>50801</xdr:rowOff>
    </xdr:from>
    <xdr:to>
      <xdr:col>15</xdr:col>
      <xdr:colOff>457200</xdr:colOff>
      <xdr:row>76</xdr:row>
      <xdr:rowOff>101600</xdr:rowOff>
    </xdr:to>
    <xdr:graphicFrame macro="">
      <xdr:nvGraphicFramePr>
        <xdr:cNvPr id="23" name="Chart 22">
          <a:extLst>
            <a:ext uri="{FF2B5EF4-FFF2-40B4-BE49-F238E27FC236}">
              <a16:creationId xmlns:a16="http://schemas.microsoft.com/office/drawing/2014/main" id="{38C748A6-7786-43E9-ADB0-CAA6F2CE5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24</xdr:col>
      <xdr:colOff>152400</xdr:colOff>
      <xdr:row>62</xdr:row>
      <xdr:rowOff>33866</xdr:rowOff>
    </xdr:from>
    <xdr:to>
      <xdr:col>31</xdr:col>
      <xdr:colOff>491068</xdr:colOff>
      <xdr:row>76</xdr:row>
      <xdr:rowOff>84666</xdr:rowOff>
    </xdr:to>
    <xdr:graphicFrame macro="">
      <xdr:nvGraphicFramePr>
        <xdr:cNvPr id="24" name="Chart 23">
          <a:extLst>
            <a:ext uri="{FF2B5EF4-FFF2-40B4-BE49-F238E27FC236}">
              <a16:creationId xmlns:a16="http://schemas.microsoft.com/office/drawing/2014/main" id="{1DDDFE92-EC96-4BC7-8B38-AECC3D67C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62</xdr:row>
      <xdr:rowOff>33866</xdr:rowOff>
    </xdr:from>
    <xdr:to>
      <xdr:col>7</xdr:col>
      <xdr:colOff>304800</xdr:colOff>
      <xdr:row>76</xdr:row>
      <xdr:rowOff>84665</xdr:rowOff>
    </xdr:to>
    <xdr:graphicFrame macro="">
      <xdr:nvGraphicFramePr>
        <xdr:cNvPr id="25" name="Chart 24">
          <a:extLst>
            <a:ext uri="{FF2B5EF4-FFF2-40B4-BE49-F238E27FC236}">
              <a16:creationId xmlns:a16="http://schemas.microsoft.com/office/drawing/2014/main" id="{5CB40645-C433-4C6B-9072-E225AAB7E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-1</xdr:colOff>
      <xdr:row>62</xdr:row>
      <xdr:rowOff>33867</xdr:rowOff>
    </xdr:from>
    <xdr:to>
      <xdr:col>24</xdr:col>
      <xdr:colOff>67733</xdr:colOff>
      <xdr:row>76</xdr:row>
      <xdr:rowOff>67733</xdr:rowOff>
    </xdr:to>
    <xdr:graphicFrame macro="">
      <xdr:nvGraphicFramePr>
        <xdr:cNvPr id="26" name="Chart 25">
          <a:extLst>
            <a:ext uri="{FF2B5EF4-FFF2-40B4-BE49-F238E27FC236}">
              <a16:creationId xmlns:a16="http://schemas.microsoft.com/office/drawing/2014/main" id="{2EF2D0A8-F9E8-4391-BC54-11BC9DEF5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592666</xdr:colOff>
      <xdr:row>39</xdr:row>
      <xdr:rowOff>169334</xdr:rowOff>
    </xdr:from>
    <xdr:to>
      <xdr:col>31</xdr:col>
      <xdr:colOff>491068</xdr:colOff>
      <xdr:row>61</xdr:row>
      <xdr:rowOff>169333</xdr:rowOff>
    </xdr:to>
    <xdr:graphicFrame macro="">
      <xdr:nvGraphicFramePr>
        <xdr:cNvPr id="27" name="Chart 26">
          <a:extLst>
            <a:ext uri="{FF2B5EF4-FFF2-40B4-BE49-F238E27FC236}">
              <a16:creationId xmlns:a16="http://schemas.microsoft.com/office/drawing/2014/main" id="{4EF52EFB-00F2-4584-902F-34C594930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67734</xdr:colOff>
      <xdr:row>0</xdr:row>
      <xdr:rowOff>84667</xdr:rowOff>
    </xdr:from>
    <xdr:to>
      <xdr:col>4</xdr:col>
      <xdr:colOff>33866</xdr:colOff>
      <xdr:row>6</xdr:row>
      <xdr:rowOff>16933</xdr:rowOff>
    </xdr:to>
    <xdr:pic>
      <xdr:nvPicPr>
        <xdr:cNvPr id="28" name="Picture 27">
          <a:extLst>
            <a:ext uri="{FF2B5EF4-FFF2-40B4-BE49-F238E27FC236}">
              <a16:creationId xmlns:a16="http://schemas.microsoft.com/office/drawing/2014/main" id="{CD8F5435-C2C5-462C-B2AF-A469CEE8F2F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7734" y="84667"/>
          <a:ext cx="2404532" cy="1049866"/>
        </a:xfrm>
        <a:prstGeom prst="rect">
          <a:avLst/>
        </a:prstGeom>
      </xdr:spPr>
    </xdr:pic>
    <xdr:clientData/>
  </xdr:twoCellAnchor>
  <xdr:twoCellAnchor>
    <xdr:from>
      <xdr:col>27</xdr:col>
      <xdr:colOff>575733</xdr:colOff>
      <xdr:row>0</xdr:row>
      <xdr:rowOff>84667</xdr:rowOff>
    </xdr:from>
    <xdr:to>
      <xdr:col>31</xdr:col>
      <xdr:colOff>541865</xdr:colOff>
      <xdr:row>6</xdr:row>
      <xdr:rowOff>16933</xdr:rowOff>
    </xdr:to>
    <xdr:pic>
      <xdr:nvPicPr>
        <xdr:cNvPr id="30" name="Picture 29">
          <a:extLst>
            <a:ext uri="{FF2B5EF4-FFF2-40B4-BE49-F238E27FC236}">
              <a16:creationId xmlns:a16="http://schemas.microsoft.com/office/drawing/2014/main" id="{15426344-B5B9-4F0B-94E1-0423A39686C8}"/>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034933" y="84667"/>
          <a:ext cx="2404532" cy="1049866"/>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0.01463</cdr:x>
      <cdr:y>0.0235</cdr:y>
    </cdr:from>
    <cdr:to>
      <cdr:x>1</cdr:x>
      <cdr:y>0.30413</cdr:y>
    </cdr:to>
    <cdr:sp macro="" textlink="">
      <cdr:nvSpPr>
        <cdr:cNvPr id="2" name="TextBox 13">
          <a:extLst xmlns:a="http://schemas.openxmlformats.org/drawingml/2006/main">
            <a:ext uri="{FF2B5EF4-FFF2-40B4-BE49-F238E27FC236}">
              <a16:creationId xmlns:a16="http://schemas.microsoft.com/office/drawing/2014/main" id="{32B2BB7B-C161-62C6-1439-306CD960AFE3}"/>
            </a:ext>
          </a:extLst>
        </cdr:cNvPr>
        <cdr:cNvSpPr txBox="1"/>
      </cdr:nvSpPr>
      <cdr:spPr>
        <a:xfrm xmlns:a="http://schemas.openxmlformats.org/drawingml/2006/main">
          <a:off x="45720" y="50799"/>
          <a:ext cx="3078480" cy="606697"/>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800" b="1">
              <a:solidFill>
                <a:schemeClr val="bg1"/>
              </a:solidFill>
              <a:effectLst/>
              <a:latin typeface="+mn-lt"/>
              <a:ea typeface="+mn-ea"/>
              <a:cs typeface="+mn-cs"/>
            </a:rPr>
            <a:t>EMPLOYEES - </a:t>
          </a:r>
          <a:r>
            <a:rPr lang="en-IN" sz="1800" b="1">
              <a:solidFill>
                <a:schemeClr val="bg1"/>
              </a:solidFill>
            </a:rPr>
            <a:t>OTHER THAN PERMANENT </a:t>
          </a:r>
        </a:p>
      </cdr:txBody>
    </cdr:sp>
  </cdr:relSizeAnchor>
</c:userShapes>
</file>

<file path=xl/drawings/drawing3.xml><?xml version="1.0" encoding="utf-8"?>
<c:userShapes xmlns:c="http://schemas.openxmlformats.org/drawingml/2006/chart">
  <cdr:relSizeAnchor xmlns:cdr="http://schemas.openxmlformats.org/drawingml/2006/chartDrawing">
    <cdr:from>
      <cdr:x>0.00714</cdr:x>
      <cdr:y>0.02379</cdr:y>
    </cdr:from>
    <cdr:to>
      <cdr:x>1</cdr:x>
      <cdr:y>0.30795</cdr:y>
    </cdr:to>
    <cdr:sp macro="" textlink="">
      <cdr:nvSpPr>
        <cdr:cNvPr id="2" name="TextBox 13">
          <a:extLst xmlns:a="http://schemas.openxmlformats.org/drawingml/2006/main">
            <a:ext uri="{FF2B5EF4-FFF2-40B4-BE49-F238E27FC236}">
              <a16:creationId xmlns:a16="http://schemas.microsoft.com/office/drawing/2014/main" id="{5B4BEA5C-5FA8-64E5-941C-D422E1830A2E}"/>
            </a:ext>
          </a:extLst>
        </cdr:cNvPr>
        <cdr:cNvSpPr txBox="1"/>
      </cdr:nvSpPr>
      <cdr:spPr>
        <a:xfrm xmlns:a="http://schemas.openxmlformats.org/drawingml/2006/main">
          <a:off x="50800" y="50800"/>
          <a:ext cx="3078480" cy="606697"/>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800" b="1">
              <a:solidFill>
                <a:schemeClr val="bg1"/>
              </a:solidFill>
              <a:effectLst/>
              <a:latin typeface="+mn-lt"/>
              <a:ea typeface="+mn-ea"/>
              <a:cs typeface="+mn-cs"/>
            </a:rPr>
            <a:t>EMPLOYEES - </a:t>
          </a:r>
          <a:r>
            <a:rPr lang="en-IN" sz="1800" b="1">
              <a:solidFill>
                <a:schemeClr val="bg1"/>
              </a:solidFill>
            </a:rPr>
            <a:t>HEALTH</a:t>
          </a:r>
          <a:r>
            <a:rPr lang="en-IN" sz="1800" b="1" baseline="0">
              <a:solidFill>
                <a:schemeClr val="bg1"/>
              </a:solidFill>
            </a:rPr>
            <a:t> INSURANCE COVERED</a:t>
          </a:r>
          <a:endParaRPr lang="en-IN" sz="1800" b="1">
            <a:solidFill>
              <a:schemeClr val="bg1"/>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cdr:x>
      <cdr:y>0.02381</cdr:y>
    </cdr:from>
    <cdr:to>
      <cdr:x>1</cdr:x>
      <cdr:y>0.30816</cdr:y>
    </cdr:to>
    <cdr:sp macro="" textlink="">
      <cdr:nvSpPr>
        <cdr:cNvPr id="2" name="TextBox 13">
          <a:extLst xmlns:a="http://schemas.openxmlformats.org/drawingml/2006/main">
            <a:ext uri="{FF2B5EF4-FFF2-40B4-BE49-F238E27FC236}">
              <a16:creationId xmlns:a16="http://schemas.microsoft.com/office/drawing/2014/main" id="{5B4BEA5C-5FA8-64E5-941C-D422E1830A2E}"/>
            </a:ext>
          </a:extLst>
        </cdr:cNvPr>
        <cdr:cNvSpPr txBox="1"/>
      </cdr:nvSpPr>
      <cdr:spPr>
        <a:xfrm xmlns:a="http://schemas.openxmlformats.org/drawingml/2006/main">
          <a:off x="50800" y="50800"/>
          <a:ext cx="3078480" cy="606697"/>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OTHER THAN EMPLOYEES</a:t>
          </a:r>
          <a:r>
            <a:rPr lang="en-IN" sz="1800" b="1" baseline="0">
              <a:solidFill>
                <a:schemeClr val="bg1"/>
              </a:solidFill>
              <a:effectLst/>
              <a:latin typeface="+mn-lt"/>
              <a:ea typeface="+mn-ea"/>
              <a:cs typeface="+mn-cs"/>
            </a:rPr>
            <a:t> -</a:t>
          </a:r>
          <a:r>
            <a:rPr lang="en-IN" sz="1800" b="1">
              <a:solidFill>
                <a:schemeClr val="bg1"/>
              </a:solidFill>
              <a:effectLst/>
              <a:latin typeface="+mn-lt"/>
              <a:ea typeface="+mn-ea"/>
              <a:cs typeface="+mn-cs"/>
            </a:rPr>
            <a:t>HEALTH</a:t>
          </a:r>
          <a:r>
            <a:rPr lang="en-IN" sz="1800" b="1" baseline="0">
              <a:solidFill>
                <a:schemeClr val="bg1"/>
              </a:solidFill>
              <a:effectLst/>
              <a:latin typeface="+mn-lt"/>
              <a:ea typeface="+mn-ea"/>
              <a:cs typeface="+mn-cs"/>
            </a:rPr>
            <a:t> INSURANCE COVERED</a:t>
          </a:r>
          <a:endParaRPr lang="en-IN" sz="3200">
            <a:solidFill>
              <a:schemeClr val="bg1"/>
            </a:solidFill>
            <a:effectLst/>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0.01587</cdr:x>
      <cdr:y>0.02364</cdr:y>
    </cdr:from>
    <cdr:to>
      <cdr:x>0.97302</cdr:x>
      <cdr:y>0.21986</cdr:y>
    </cdr:to>
    <cdr:sp macro="" textlink="">
      <cdr:nvSpPr>
        <cdr:cNvPr id="2" name="TextBox 13">
          <a:extLst xmlns:a="http://schemas.openxmlformats.org/drawingml/2006/main">
            <a:ext uri="{FF2B5EF4-FFF2-40B4-BE49-F238E27FC236}">
              <a16:creationId xmlns:a16="http://schemas.microsoft.com/office/drawing/2014/main" id="{CEE20A91-3F8F-D53E-06D3-4B665B843519}"/>
            </a:ext>
          </a:extLst>
        </cdr:cNvPr>
        <cdr:cNvSpPr txBox="1"/>
      </cdr:nvSpPr>
      <cdr:spPr>
        <a:xfrm xmlns:a="http://schemas.openxmlformats.org/drawingml/2006/main">
          <a:off x="50800" y="50801"/>
          <a:ext cx="3063240" cy="421640"/>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PERMANENT</a:t>
          </a:r>
          <a:r>
            <a:rPr lang="en-IN" sz="1800" b="1" baseline="0">
              <a:solidFill>
                <a:schemeClr val="bg1"/>
              </a:solidFill>
              <a:effectLst/>
              <a:latin typeface="+mn-lt"/>
              <a:ea typeface="+mn-ea"/>
              <a:cs typeface="+mn-cs"/>
            </a:rPr>
            <a:t> WORKERS</a:t>
          </a:r>
          <a:endParaRPr lang="en-IN" sz="3200">
            <a:solidFill>
              <a:schemeClr val="bg1"/>
            </a:solidFill>
            <a:effectLst/>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0.01536</cdr:x>
      <cdr:y>0.02347</cdr:y>
    </cdr:from>
    <cdr:to>
      <cdr:x>0.94163</cdr:x>
      <cdr:y>0.29416</cdr:y>
    </cdr:to>
    <cdr:sp macro="" textlink="">
      <cdr:nvSpPr>
        <cdr:cNvPr id="2" name="TextBox 13">
          <a:extLst xmlns:a="http://schemas.openxmlformats.org/drawingml/2006/main">
            <a:ext uri="{FF2B5EF4-FFF2-40B4-BE49-F238E27FC236}">
              <a16:creationId xmlns:a16="http://schemas.microsoft.com/office/drawing/2014/main" id="{BCD6E055-AA89-FAC8-87F2-B8158F3C7BC5}"/>
            </a:ext>
          </a:extLst>
        </cdr:cNvPr>
        <cdr:cNvSpPr txBox="1"/>
      </cdr:nvSpPr>
      <cdr:spPr>
        <a:xfrm xmlns:a="http://schemas.openxmlformats.org/drawingml/2006/main">
          <a:off x="50800" y="51753"/>
          <a:ext cx="3063240" cy="596793"/>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OTHER THAN PERMANENT</a:t>
          </a:r>
          <a:r>
            <a:rPr lang="en-IN" sz="1800" b="1" baseline="0">
              <a:solidFill>
                <a:schemeClr val="bg1"/>
              </a:solidFill>
              <a:effectLst/>
              <a:latin typeface="+mn-lt"/>
              <a:ea typeface="+mn-ea"/>
              <a:cs typeface="+mn-cs"/>
            </a:rPr>
            <a:t> WORKERS</a:t>
          </a:r>
          <a:endParaRPr lang="en-IN" sz="3200">
            <a:solidFill>
              <a:schemeClr val="bg1"/>
            </a:solidFill>
            <a:effectLst/>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0.00741</cdr:x>
      <cdr:y>0.00606</cdr:y>
    </cdr:from>
    <cdr:to>
      <cdr:x>0.99259</cdr:x>
      <cdr:y>0.22734</cdr:y>
    </cdr:to>
    <cdr:sp macro="" textlink="">
      <cdr:nvSpPr>
        <cdr:cNvPr id="2" name="TextBox 13">
          <a:extLst xmlns:a="http://schemas.openxmlformats.org/drawingml/2006/main">
            <a:ext uri="{FF2B5EF4-FFF2-40B4-BE49-F238E27FC236}">
              <a16:creationId xmlns:a16="http://schemas.microsoft.com/office/drawing/2014/main" id="{A40D305B-FB5C-2A99-C5E7-F647B97EC8DB}"/>
            </a:ext>
          </a:extLst>
        </cdr:cNvPr>
        <cdr:cNvSpPr txBox="1"/>
      </cdr:nvSpPr>
      <cdr:spPr>
        <a:xfrm xmlns:a="http://schemas.openxmlformats.org/drawingml/2006/main">
          <a:off x="33866" y="16934"/>
          <a:ext cx="4504267" cy="618253"/>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Permanent</a:t>
          </a:r>
          <a:r>
            <a:rPr lang="en-IN" sz="1800" b="1" baseline="0">
              <a:solidFill>
                <a:schemeClr val="bg1"/>
              </a:solidFill>
              <a:effectLst/>
              <a:latin typeface="+mn-lt"/>
              <a:ea typeface="+mn-ea"/>
              <a:cs typeface="+mn-cs"/>
            </a:rPr>
            <a:t> Employees</a:t>
          </a:r>
          <a:endParaRPr lang="en-IN" sz="3200">
            <a:solidFill>
              <a:schemeClr val="bg1"/>
            </a:solidFill>
            <a:effectLst/>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cdr:x>
      <cdr:y>0.01852</cdr:y>
    </cdr:from>
    <cdr:to>
      <cdr:x>1</cdr:x>
      <cdr:y>0.2439</cdr:y>
    </cdr:to>
    <cdr:sp macro="" textlink="">
      <cdr:nvSpPr>
        <cdr:cNvPr id="2" name="TextBox 13">
          <a:extLst xmlns:a="http://schemas.openxmlformats.org/drawingml/2006/main">
            <a:ext uri="{FF2B5EF4-FFF2-40B4-BE49-F238E27FC236}">
              <a16:creationId xmlns:a16="http://schemas.microsoft.com/office/drawing/2014/main" id="{99A29374-133F-3760-F4D9-37AC89A05A96}"/>
            </a:ext>
          </a:extLst>
        </cdr:cNvPr>
        <cdr:cNvSpPr txBox="1"/>
      </cdr:nvSpPr>
      <cdr:spPr>
        <a:xfrm xmlns:a="http://schemas.openxmlformats.org/drawingml/2006/main">
          <a:off x="50800" y="50800"/>
          <a:ext cx="4504267" cy="618253"/>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Training</a:t>
          </a:r>
          <a:r>
            <a:rPr lang="en-IN" sz="1800" b="1" baseline="0">
              <a:solidFill>
                <a:schemeClr val="bg1"/>
              </a:solidFill>
              <a:effectLst/>
              <a:latin typeface="+mn-lt"/>
              <a:ea typeface="+mn-ea"/>
              <a:cs typeface="+mn-cs"/>
            </a:rPr>
            <a:t> Coverage - Health &amp; Safety</a:t>
          </a:r>
          <a:endParaRPr lang="en-IN" sz="3200">
            <a:solidFill>
              <a:schemeClr val="bg1"/>
            </a:solidFill>
            <a:effectLst/>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0.01111</cdr:x>
      <cdr:y>0.01852</cdr:y>
    </cdr:from>
    <cdr:to>
      <cdr:x>1</cdr:x>
      <cdr:y>0.2439</cdr:y>
    </cdr:to>
    <cdr:sp macro="" textlink="">
      <cdr:nvSpPr>
        <cdr:cNvPr id="2" name="TextBox 13">
          <a:extLst xmlns:a="http://schemas.openxmlformats.org/drawingml/2006/main">
            <a:ext uri="{FF2B5EF4-FFF2-40B4-BE49-F238E27FC236}">
              <a16:creationId xmlns:a16="http://schemas.microsoft.com/office/drawing/2014/main" id="{382D742B-21C9-755E-1C4C-42AF74E0B20C}"/>
            </a:ext>
          </a:extLst>
        </cdr:cNvPr>
        <cdr:cNvSpPr txBox="1"/>
      </cdr:nvSpPr>
      <cdr:spPr>
        <a:xfrm xmlns:a="http://schemas.openxmlformats.org/drawingml/2006/main">
          <a:off x="45155" y="50800"/>
          <a:ext cx="4018845" cy="618253"/>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Training</a:t>
          </a:r>
          <a:r>
            <a:rPr lang="en-IN" sz="1800" b="1" baseline="0">
              <a:solidFill>
                <a:schemeClr val="bg1"/>
              </a:solidFill>
              <a:effectLst/>
              <a:latin typeface="+mn-lt"/>
              <a:ea typeface="+mn-ea"/>
              <a:cs typeface="+mn-cs"/>
            </a:rPr>
            <a:t> Coverage - Skill Upgradation</a:t>
          </a:r>
          <a:endParaRPr lang="en-IN" sz="3200">
            <a:solidFill>
              <a:schemeClr val="bg1"/>
            </a:solidFill>
            <a:effectLs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0.00745</cdr:x>
      <cdr:y>0.01852</cdr:y>
    </cdr:from>
    <cdr:to>
      <cdr:x>1</cdr:x>
      <cdr:y>0.2439</cdr:y>
    </cdr:to>
    <cdr:sp macro="" textlink="">
      <cdr:nvSpPr>
        <cdr:cNvPr id="2" name="TextBox 13">
          <a:extLst xmlns:a="http://schemas.openxmlformats.org/drawingml/2006/main">
            <a:ext uri="{FF2B5EF4-FFF2-40B4-BE49-F238E27FC236}">
              <a16:creationId xmlns:a16="http://schemas.microsoft.com/office/drawing/2014/main" id="{8BEA6FE1-0C82-2EB1-1BF1-A99821905627}"/>
            </a:ext>
          </a:extLst>
        </cdr:cNvPr>
        <cdr:cNvSpPr txBox="1"/>
      </cdr:nvSpPr>
      <cdr:spPr>
        <a:xfrm xmlns:a="http://schemas.openxmlformats.org/drawingml/2006/main">
          <a:off x="50800" y="50800"/>
          <a:ext cx="4537945" cy="618253"/>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Performance</a:t>
          </a:r>
          <a:r>
            <a:rPr lang="en-IN" sz="1800" b="1" baseline="0">
              <a:solidFill>
                <a:schemeClr val="bg1"/>
              </a:solidFill>
              <a:effectLst/>
              <a:latin typeface="+mn-lt"/>
              <a:ea typeface="+mn-ea"/>
              <a:cs typeface="+mn-cs"/>
            </a:rPr>
            <a:t> &amp; Career Development Coverage</a:t>
          </a:r>
          <a:endParaRPr lang="en-IN" sz="3200">
            <a:solidFill>
              <a:schemeClr val="bg1"/>
            </a:solidFill>
            <a:effectLst/>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0.00529</cdr:x>
      <cdr:y>0.01235</cdr:y>
    </cdr:from>
    <cdr:to>
      <cdr:x>0.99824</cdr:x>
      <cdr:y>0.16352</cdr:y>
    </cdr:to>
    <cdr:sp macro="" textlink="">
      <cdr:nvSpPr>
        <cdr:cNvPr id="2" name="TextBox 13">
          <a:extLst xmlns:a="http://schemas.openxmlformats.org/drawingml/2006/main">
            <a:ext uri="{FF2B5EF4-FFF2-40B4-BE49-F238E27FC236}">
              <a16:creationId xmlns:a16="http://schemas.microsoft.com/office/drawing/2014/main" id="{3FFAB6A6-F314-E330-778D-1CCA1C335AB4}"/>
            </a:ext>
          </a:extLst>
        </cdr:cNvPr>
        <cdr:cNvSpPr txBox="1"/>
      </cdr:nvSpPr>
      <cdr:spPr>
        <a:xfrm xmlns:a="http://schemas.openxmlformats.org/drawingml/2006/main">
          <a:off x="50799" y="50800"/>
          <a:ext cx="9533467" cy="622069"/>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Safety</a:t>
          </a:r>
          <a:r>
            <a:rPr lang="en-IN" sz="1800" b="1" baseline="0">
              <a:solidFill>
                <a:schemeClr val="bg1"/>
              </a:solidFill>
              <a:effectLst/>
              <a:latin typeface="+mn-lt"/>
              <a:ea typeface="+mn-ea"/>
              <a:cs typeface="+mn-cs"/>
            </a:rPr>
            <a:t> Incident Metrics</a:t>
          </a:r>
          <a:endParaRPr lang="en-IN" sz="3200">
            <a:solidFill>
              <a:schemeClr val="bg1"/>
            </a:solidFill>
            <a:effectLst/>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cdr:x>
      <cdr:y>0.01852</cdr:y>
    </cdr:from>
    <cdr:to>
      <cdr:x>1</cdr:x>
      <cdr:y>0.16049</cdr:y>
    </cdr:to>
    <cdr:sp macro="" textlink="">
      <cdr:nvSpPr>
        <cdr:cNvPr id="2" name="TextBox 13">
          <a:extLst xmlns:a="http://schemas.openxmlformats.org/drawingml/2006/main">
            <a:ext uri="{FF2B5EF4-FFF2-40B4-BE49-F238E27FC236}">
              <a16:creationId xmlns:a16="http://schemas.microsoft.com/office/drawing/2014/main" id="{04296206-35D3-36D6-A489-489113119F03}"/>
            </a:ext>
          </a:extLst>
        </cdr:cNvPr>
        <cdr:cNvSpPr txBox="1"/>
      </cdr:nvSpPr>
      <cdr:spPr>
        <a:xfrm xmlns:a="http://schemas.openxmlformats.org/drawingml/2006/main">
          <a:off x="0" y="50801"/>
          <a:ext cx="4724401" cy="389466"/>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Gender</a:t>
          </a:r>
          <a:r>
            <a:rPr lang="en-IN" sz="1800" b="1" baseline="0">
              <a:solidFill>
                <a:schemeClr val="bg1"/>
              </a:solidFill>
              <a:effectLst/>
              <a:latin typeface="+mn-lt"/>
              <a:ea typeface="+mn-ea"/>
              <a:cs typeface="+mn-cs"/>
            </a:rPr>
            <a:t> Pay Gap</a:t>
          </a:r>
          <a:endParaRPr lang="en-IN" sz="3200">
            <a:solidFill>
              <a:schemeClr val="bg1"/>
            </a:solidFill>
            <a:effectLst/>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0.01852</cdr:y>
    </cdr:from>
    <cdr:to>
      <cdr:x>1</cdr:x>
      <cdr:y>0.2037</cdr:y>
    </cdr:to>
    <cdr:sp macro="" textlink="">
      <cdr:nvSpPr>
        <cdr:cNvPr id="2" name="TextBox 13">
          <a:extLst xmlns:a="http://schemas.openxmlformats.org/drawingml/2006/main">
            <a:ext uri="{FF2B5EF4-FFF2-40B4-BE49-F238E27FC236}">
              <a16:creationId xmlns:a16="http://schemas.microsoft.com/office/drawing/2014/main" id="{193EE527-C428-22D6-1D18-30B579EB15E7}"/>
            </a:ext>
          </a:extLst>
        </cdr:cNvPr>
        <cdr:cNvSpPr txBox="1"/>
      </cdr:nvSpPr>
      <cdr:spPr>
        <a:xfrm xmlns:a="http://schemas.openxmlformats.org/drawingml/2006/main">
          <a:off x="50800" y="50800"/>
          <a:ext cx="4822614" cy="508000"/>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Sourcing</a:t>
          </a:r>
          <a:r>
            <a:rPr lang="en-IN" sz="1800" b="1" baseline="0">
              <a:solidFill>
                <a:schemeClr val="bg1"/>
              </a:solidFill>
              <a:effectLst/>
              <a:latin typeface="+mn-lt"/>
              <a:ea typeface="+mn-ea"/>
              <a:cs typeface="+mn-cs"/>
            </a:rPr>
            <a:t> by Location Type</a:t>
          </a:r>
          <a:endParaRPr lang="en-IN" sz="3200">
            <a:solidFill>
              <a:schemeClr val="bg1"/>
            </a:solidFill>
            <a:effectLst/>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cdr:x>
      <cdr:y>0.01852</cdr:y>
    </cdr:from>
    <cdr:to>
      <cdr:x>1</cdr:x>
      <cdr:y>0.16049</cdr:y>
    </cdr:to>
    <cdr:sp macro="" textlink="">
      <cdr:nvSpPr>
        <cdr:cNvPr id="2" name="TextBox 13">
          <a:extLst xmlns:a="http://schemas.openxmlformats.org/drawingml/2006/main">
            <a:ext uri="{FF2B5EF4-FFF2-40B4-BE49-F238E27FC236}">
              <a16:creationId xmlns:a16="http://schemas.microsoft.com/office/drawing/2014/main" id="{E4B75F56-F6FA-E7DE-90F7-F839C9439C21}"/>
            </a:ext>
          </a:extLst>
        </cdr:cNvPr>
        <cdr:cNvSpPr txBox="1"/>
      </cdr:nvSpPr>
      <cdr:spPr>
        <a:xfrm xmlns:a="http://schemas.openxmlformats.org/drawingml/2006/main">
          <a:off x="50800" y="50800"/>
          <a:ext cx="4724401" cy="389466"/>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Sourcing</a:t>
          </a:r>
          <a:r>
            <a:rPr lang="en-IN" sz="1800" b="1" baseline="0">
              <a:solidFill>
                <a:schemeClr val="bg1"/>
              </a:solidFill>
              <a:effectLst/>
              <a:latin typeface="+mn-lt"/>
              <a:ea typeface="+mn-ea"/>
              <a:cs typeface="+mn-cs"/>
            </a:rPr>
            <a:t> </a:t>
          </a:r>
          <a:endParaRPr lang="en-IN" sz="3200">
            <a:solidFill>
              <a:schemeClr val="bg1"/>
            </a:solidFill>
            <a:effectLst/>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0.01852</cdr:y>
    </cdr:from>
    <cdr:to>
      <cdr:x>1</cdr:x>
      <cdr:y>0.16049</cdr:y>
    </cdr:to>
    <cdr:sp macro="" textlink="">
      <cdr:nvSpPr>
        <cdr:cNvPr id="2" name="TextBox 13">
          <a:extLst xmlns:a="http://schemas.openxmlformats.org/drawingml/2006/main">
            <a:ext uri="{FF2B5EF4-FFF2-40B4-BE49-F238E27FC236}">
              <a16:creationId xmlns:a16="http://schemas.microsoft.com/office/drawing/2014/main" id="{A20ABABF-D2FF-6738-CC28-B4D9BAC23E6C}"/>
            </a:ext>
          </a:extLst>
        </cdr:cNvPr>
        <cdr:cNvSpPr txBox="1"/>
      </cdr:nvSpPr>
      <cdr:spPr>
        <a:xfrm xmlns:a="http://schemas.openxmlformats.org/drawingml/2006/main">
          <a:off x="50800" y="50800"/>
          <a:ext cx="4724401" cy="389466"/>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CSR</a:t>
          </a:r>
          <a:r>
            <a:rPr lang="en-IN" sz="1800" b="1" baseline="0">
              <a:solidFill>
                <a:schemeClr val="bg1"/>
              </a:solidFill>
              <a:effectLst/>
              <a:latin typeface="+mn-lt"/>
              <a:ea typeface="+mn-ea"/>
              <a:cs typeface="+mn-cs"/>
            </a:rPr>
            <a:t> SPENT IN ASPIRATIONAL DISTRICTS</a:t>
          </a:r>
          <a:endParaRPr lang="en-IN" sz="3200">
            <a:solidFill>
              <a:schemeClr val="bg1"/>
            </a:solidFill>
            <a:effectLst/>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0.00519</cdr:x>
      <cdr:y>0.0124</cdr:y>
    </cdr:from>
    <cdr:to>
      <cdr:x>0.99308</cdr:x>
      <cdr:y>0.1642</cdr:y>
    </cdr:to>
    <cdr:sp macro="" textlink="">
      <cdr:nvSpPr>
        <cdr:cNvPr id="2" name="TextBox 13">
          <a:extLst xmlns:a="http://schemas.openxmlformats.org/drawingml/2006/main">
            <a:ext uri="{FF2B5EF4-FFF2-40B4-BE49-F238E27FC236}">
              <a16:creationId xmlns:a16="http://schemas.microsoft.com/office/drawing/2014/main" id="{B9892F16-AE88-EF7F-DEC3-AFE183356458}"/>
            </a:ext>
          </a:extLst>
        </cdr:cNvPr>
        <cdr:cNvSpPr txBox="1"/>
      </cdr:nvSpPr>
      <cdr:spPr>
        <a:xfrm xmlns:a="http://schemas.openxmlformats.org/drawingml/2006/main">
          <a:off x="50800" y="50800"/>
          <a:ext cx="9668935" cy="622069"/>
        </a:xfrm>
        <a:prstGeom xmlns:a="http://schemas.openxmlformats.org/drawingml/2006/main" prst="rect">
          <a:avLst/>
        </a:prstGeom>
        <a:solidFill xmlns:a="http://schemas.openxmlformats.org/drawingml/2006/main">
          <a:srgbClr val="37441C"/>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bg1"/>
              </a:solidFill>
              <a:effectLst/>
              <a:latin typeface="+mn-lt"/>
              <a:ea typeface="+mn-ea"/>
              <a:cs typeface="+mn-cs"/>
            </a:rPr>
            <a:t>CSR</a:t>
          </a:r>
          <a:r>
            <a:rPr lang="en-IN" sz="1800" b="1" baseline="0">
              <a:solidFill>
                <a:schemeClr val="bg1"/>
              </a:solidFill>
              <a:effectLst/>
              <a:latin typeface="+mn-lt"/>
              <a:ea typeface="+mn-ea"/>
              <a:cs typeface="+mn-cs"/>
            </a:rPr>
            <a:t> Project Beneficiaries</a:t>
          </a:r>
          <a:endParaRPr lang="en-IN" sz="3200">
            <a:solidFill>
              <a:schemeClr val="bg1"/>
            </a:solidFill>
            <a:effectLst/>
          </a:endParaRPr>
        </a:p>
      </cdr:txBody>
    </cdr:sp>
  </cdr:relSizeAnchor>
</c:userShapes>
</file>

<file path=xl/drawings/drawing17.xml><?xml version="1.0" encoding="utf-8"?>
<xdr:wsDr xmlns:xdr="http://schemas.openxmlformats.org/drawingml/2006/spreadsheetDrawing" xmlns:a="http://schemas.openxmlformats.org/drawingml/2006/main">
  <xdr:twoCellAnchor>
    <xdr:from>
      <xdr:col>3</xdr:col>
      <xdr:colOff>426720</xdr:colOff>
      <xdr:row>1</xdr:row>
      <xdr:rowOff>87630</xdr:rowOff>
    </xdr:from>
    <xdr:to>
      <xdr:col>5</xdr:col>
      <xdr:colOff>2286000</xdr:colOff>
      <xdr:row>15</xdr:row>
      <xdr:rowOff>133350</xdr:rowOff>
    </xdr:to>
    <xdr:graphicFrame macro="">
      <xdr:nvGraphicFramePr>
        <xdr:cNvPr id="2" name="Chart 1">
          <a:extLst>
            <a:ext uri="{FF2B5EF4-FFF2-40B4-BE49-F238E27FC236}">
              <a16:creationId xmlns:a16="http://schemas.microsoft.com/office/drawing/2014/main" id="{98B24231-9B40-FC29-2B15-755ABCF08F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2057400</xdr:colOff>
      <xdr:row>1</xdr:row>
      <xdr:rowOff>19050</xdr:rowOff>
    </xdr:from>
    <xdr:to>
      <xdr:col>12</xdr:col>
      <xdr:colOff>274320</xdr:colOff>
      <xdr:row>15</xdr:row>
      <xdr:rowOff>64770</xdr:rowOff>
    </xdr:to>
    <xdr:graphicFrame macro="">
      <xdr:nvGraphicFramePr>
        <xdr:cNvPr id="3" name="Chart 2">
          <a:extLst>
            <a:ext uri="{FF2B5EF4-FFF2-40B4-BE49-F238E27FC236}">
              <a16:creationId xmlns:a16="http://schemas.microsoft.com/office/drawing/2014/main" id="{BC117325-9DFC-57FC-D7FC-C5F59650E6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27</xdr:row>
      <xdr:rowOff>22860</xdr:rowOff>
    </xdr:from>
    <xdr:to>
      <xdr:col>5</xdr:col>
      <xdr:colOff>91440</xdr:colOff>
      <xdr:row>39</xdr:row>
      <xdr:rowOff>186690</xdr:rowOff>
    </xdr:to>
    <xdr:graphicFrame macro="">
      <xdr:nvGraphicFramePr>
        <xdr:cNvPr id="4" name="Chart 3">
          <a:extLst>
            <a:ext uri="{FF2B5EF4-FFF2-40B4-BE49-F238E27FC236}">
              <a16:creationId xmlns:a16="http://schemas.microsoft.com/office/drawing/2014/main" id="{92399745-4698-767A-E5B6-BE259DD4B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144780</xdr:colOff>
      <xdr:row>26</xdr:row>
      <xdr:rowOff>152400</xdr:rowOff>
    </xdr:from>
    <xdr:to>
      <xdr:col>8</xdr:col>
      <xdr:colOff>83820</xdr:colOff>
      <xdr:row>39</xdr:row>
      <xdr:rowOff>49530</xdr:rowOff>
    </xdr:to>
    <xdr:graphicFrame macro="">
      <xdr:nvGraphicFramePr>
        <xdr:cNvPr id="5" name="Chart 4">
          <a:extLst>
            <a:ext uri="{FF2B5EF4-FFF2-40B4-BE49-F238E27FC236}">
              <a16:creationId xmlns:a16="http://schemas.microsoft.com/office/drawing/2014/main" id="{1DD3250F-2095-7C4F-569E-9B5BFB57F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xdr:col>
      <xdr:colOff>2125980</xdr:colOff>
      <xdr:row>8</xdr:row>
      <xdr:rowOff>64770</xdr:rowOff>
    </xdr:from>
    <xdr:to>
      <xdr:col>3</xdr:col>
      <xdr:colOff>60960</xdr:colOff>
      <xdr:row>22</xdr:row>
      <xdr:rowOff>125730</xdr:rowOff>
    </xdr:to>
    <xdr:graphicFrame macro="">
      <xdr:nvGraphicFramePr>
        <xdr:cNvPr id="2" name="Chart 1">
          <a:extLst>
            <a:ext uri="{FF2B5EF4-FFF2-40B4-BE49-F238E27FC236}">
              <a16:creationId xmlns:a16="http://schemas.microsoft.com/office/drawing/2014/main" id="{0892B205-D2B7-997D-7918-3580071DD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8</xdr:row>
      <xdr:rowOff>87630</xdr:rowOff>
    </xdr:from>
    <xdr:to>
      <xdr:col>6</xdr:col>
      <xdr:colOff>579120</xdr:colOff>
      <xdr:row>22</xdr:row>
      <xdr:rowOff>148590</xdr:rowOff>
    </xdr:to>
    <xdr:graphicFrame macro="">
      <xdr:nvGraphicFramePr>
        <xdr:cNvPr id="3" name="Chart 2">
          <a:extLst>
            <a:ext uri="{FF2B5EF4-FFF2-40B4-BE49-F238E27FC236}">
              <a16:creationId xmlns:a16="http://schemas.microsoft.com/office/drawing/2014/main" id="{0CAACAA4-BB9E-A8A8-C9B9-456549C4D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8</xdr:col>
      <xdr:colOff>38100</xdr:colOff>
      <xdr:row>4</xdr:row>
      <xdr:rowOff>3810</xdr:rowOff>
    </xdr:from>
    <xdr:to>
      <xdr:col>15</xdr:col>
      <xdr:colOff>53340</xdr:colOff>
      <xdr:row>17</xdr:row>
      <xdr:rowOff>95250</xdr:rowOff>
    </xdr:to>
    <xdr:graphicFrame macro="">
      <xdr:nvGraphicFramePr>
        <xdr:cNvPr id="3" name="Chart 2">
          <a:extLst>
            <a:ext uri="{FF2B5EF4-FFF2-40B4-BE49-F238E27FC236}">
              <a16:creationId xmlns:a16="http://schemas.microsoft.com/office/drawing/2014/main" id="{5CB4E906-6E36-0D35-E1B2-48E631E4D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3</xdr:col>
      <xdr:colOff>144780</xdr:colOff>
      <xdr:row>7</xdr:row>
      <xdr:rowOff>26670</xdr:rowOff>
    </xdr:from>
    <xdr:to>
      <xdr:col>8</xdr:col>
      <xdr:colOff>38100</xdr:colOff>
      <xdr:row>21</xdr:row>
      <xdr:rowOff>148590</xdr:rowOff>
    </xdr:to>
    <xdr:graphicFrame macro="">
      <xdr:nvGraphicFramePr>
        <xdr:cNvPr id="2" name="Chart 1">
          <a:extLst>
            <a:ext uri="{FF2B5EF4-FFF2-40B4-BE49-F238E27FC236}">
              <a16:creationId xmlns:a16="http://schemas.microsoft.com/office/drawing/2014/main" id="{F0075BA6-B53E-7254-54F9-3A0DAF8CB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2468880</xdr:colOff>
      <xdr:row>29</xdr:row>
      <xdr:rowOff>34290</xdr:rowOff>
    </xdr:from>
    <xdr:to>
      <xdr:col>5</xdr:col>
      <xdr:colOff>609600</xdr:colOff>
      <xdr:row>43</xdr:row>
      <xdr:rowOff>95250</xdr:rowOff>
    </xdr:to>
    <xdr:graphicFrame macro="">
      <xdr:nvGraphicFramePr>
        <xdr:cNvPr id="3" name="Chart 2">
          <a:extLst>
            <a:ext uri="{FF2B5EF4-FFF2-40B4-BE49-F238E27FC236}">
              <a16:creationId xmlns:a16="http://schemas.microsoft.com/office/drawing/2014/main" id="{140DCEBF-0F5F-DC4F-1309-507CA2B089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3</xdr:col>
      <xdr:colOff>944880</xdr:colOff>
      <xdr:row>5</xdr:row>
      <xdr:rowOff>171450</xdr:rowOff>
    </xdr:from>
    <xdr:to>
      <xdr:col>10</xdr:col>
      <xdr:colOff>243840</xdr:colOff>
      <xdr:row>20</xdr:row>
      <xdr:rowOff>110490</xdr:rowOff>
    </xdr:to>
    <xdr:graphicFrame macro="">
      <xdr:nvGraphicFramePr>
        <xdr:cNvPr id="2" name="Chart 1">
          <a:extLst>
            <a:ext uri="{FF2B5EF4-FFF2-40B4-BE49-F238E27FC236}">
              <a16:creationId xmlns:a16="http://schemas.microsoft.com/office/drawing/2014/main" id="{24F67199-E6F7-7C65-5D0F-6879B6AB6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2</xdr:col>
      <xdr:colOff>411480</xdr:colOff>
      <xdr:row>6</xdr:row>
      <xdr:rowOff>278130</xdr:rowOff>
    </xdr:from>
    <xdr:to>
      <xdr:col>4</xdr:col>
      <xdr:colOff>3429000</xdr:colOff>
      <xdr:row>20</xdr:row>
      <xdr:rowOff>3810</xdr:rowOff>
    </xdr:to>
    <xdr:graphicFrame macro="">
      <xdr:nvGraphicFramePr>
        <xdr:cNvPr id="2" name="Chart 1">
          <a:extLst>
            <a:ext uri="{FF2B5EF4-FFF2-40B4-BE49-F238E27FC236}">
              <a16:creationId xmlns:a16="http://schemas.microsoft.com/office/drawing/2014/main" id="{3079DBAF-B5FC-0770-D0C5-3315118F3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3</xdr:col>
      <xdr:colOff>990600</xdr:colOff>
      <xdr:row>6</xdr:row>
      <xdr:rowOff>110490</xdr:rowOff>
    </xdr:from>
    <xdr:to>
      <xdr:col>7</xdr:col>
      <xdr:colOff>777240</xdr:colOff>
      <xdr:row>14</xdr:row>
      <xdr:rowOff>19050</xdr:rowOff>
    </xdr:to>
    <xdr:graphicFrame macro="">
      <xdr:nvGraphicFramePr>
        <xdr:cNvPr id="2" name="Chart 1">
          <a:extLst>
            <a:ext uri="{FF2B5EF4-FFF2-40B4-BE49-F238E27FC236}">
              <a16:creationId xmlns:a16="http://schemas.microsoft.com/office/drawing/2014/main" id="{EA666A57-BCA4-8B7D-292E-668A520BEB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411480</xdr:colOff>
      <xdr:row>8</xdr:row>
      <xdr:rowOff>64770</xdr:rowOff>
    </xdr:from>
    <xdr:to>
      <xdr:col>7</xdr:col>
      <xdr:colOff>289560</xdr:colOff>
      <xdr:row>23</xdr:row>
      <xdr:rowOff>64770</xdr:rowOff>
    </xdr:to>
    <xdr:graphicFrame macro="">
      <xdr:nvGraphicFramePr>
        <xdr:cNvPr id="3" name="Chart 2">
          <a:extLst>
            <a:ext uri="{FF2B5EF4-FFF2-40B4-BE49-F238E27FC236}">
              <a16:creationId xmlns:a16="http://schemas.microsoft.com/office/drawing/2014/main" id="{8DC6DF5E-3618-AAAC-531A-ABAAC7CDC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2</xdr:col>
      <xdr:colOff>937260</xdr:colOff>
      <xdr:row>8</xdr:row>
      <xdr:rowOff>64770</xdr:rowOff>
    </xdr:from>
    <xdr:to>
      <xdr:col>9</xdr:col>
      <xdr:colOff>259080</xdr:colOff>
      <xdr:row>23</xdr:row>
      <xdr:rowOff>64770</xdr:rowOff>
    </xdr:to>
    <xdr:graphicFrame macro="">
      <xdr:nvGraphicFramePr>
        <xdr:cNvPr id="2" name="Chart 1">
          <a:extLst>
            <a:ext uri="{FF2B5EF4-FFF2-40B4-BE49-F238E27FC236}">
              <a16:creationId xmlns:a16="http://schemas.microsoft.com/office/drawing/2014/main" id="{AD972F96-E6C5-2A81-495E-5D94BB10EB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1</xdr:col>
      <xdr:colOff>358140</xdr:colOff>
      <xdr:row>8</xdr:row>
      <xdr:rowOff>64770</xdr:rowOff>
    </xdr:from>
    <xdr:to>
      <xdr:col>4</xdr:col>
      <xdr:colOff>2415540</xdr:colOff>
      <xdr:row>23</xdr:row>
      <xdr:rowOff>64770</xdr:rowOff>
    </xdr:to>
    <xdr:graphicFrame macro="">
      <xdr:nvGraphicFramePr>
        <xdr:cNvPr id="2" name="Chart 1">
          <a:extLst>
            <a:ext uri="{FF2B5EF4-FFF2-40B4-BE49-F238E27FC236}">
              <a16:creationId xmlns:a16="http://schemas.microsoft.com/office/drawing/2014/main" id="{920B779E-6F56-8640-64AA-5480DDF2F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1</xdr:col>
      <xdr:colOff>731520</xdr:colOff>
      <xdr:row>8</xdr:row>
      <xdr:rowOff>64770</xdr:rowOff>
    </xdr:from>
    <xdr:to>
      <xdr:col>3</xdr:col>
      <xdr:colOff>1783080</xdr:colOff>
      <xdr:row>23</xdr:row>
      <xdr:rowOff>64770</xdr:rowOff>
    </xdr:to>
    <xdr:graphicFrame macro="">
      <xdr:nvGraphicFramePr>
        <xdr:cNvPr id="2" name="Chart 1">
          <a:extLst>
            <a:ext uri="{FF2B5EF4-FFF2-40B4-BE49-F238E27FC236}">
              <a16:creationId xmlns:a16="http://schemas.microsoft.com/office/drawing/2014/main" id="{7466B6C6-B5D0-A7F3-89EF-69C5F4B6A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1</xdr:col>
      <xdr:colOff>4800600</xdr:colOff>
      <xdr:row>8</xdr:row>
      <xdr:rowOff>64770</xdr:rowOff>
    </xdr:from>
    <xdr:to>
      <xdr:col>3</xdr:col>
      <xdr:colOff>3070860</xdr:colOff>
      <xdr:row>20</xdr:row>
      <xdr:rowOff>247650</xdr:rowOff>
    </xdr:to>
    <xdr:graphicFrame macro="">
      <xdr:nvGraphicFramePr>
        <xdr:cNvPr id="2" name="Chart 1">
          <a:extLst>
            <a:ext uri="{FF2B5EF4-FFF2-40B4-BE49-F238E27FC236}">
              <a16:creationId xmlns:a16="http://schemas.microsoft.com/office/drawing/2014/main" id="{AE2C1F55-59E0-9268-2E3C-CEF5820855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552863425924" createdVersion="8" refreshedVersion="8" minRefreshableVersion="3" recordCount="6" xr:uid="{BCB1E485-5017-4099-A554-0EF8CC52C724}">
  <cacheSource type="worksheet">
    <worksheetSource ref="A5:B11" sheet="Employee_Benefits_Tables"/>
  </cacheSource>
  <cacheFields count="2">
    <cacheField name="Category" numFmtId="0">
      <sharedItems count="6">
        <s v="Permanent Employees – Male"/>
        <s v="Permanent Employees – Female"/>
        <s v="Permanent Employees – Total"/>
        <s v="Other Than Permanent Employees – Male"/>
        <s v="Other Than Permanent Employees – Female"/>
        <s v="Other Than Permanent Employees – Total"/>
      </sharedItems>
    </cacheField>
    <cacheField name="Value" numFmtId="164">
      <sharedItems containsSemiMixedTypes="0" containsString="0" containsNumber="1" containsInteger="1" minValue="196" maxValue="114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557427893516" createdVersion="8" refreshedVersion="8" minRefreshableVersion="3" recordCount="6" xr:uid="{C258AA0E-F9CB-41BC-8D0B-114EC50F1CA8}">
  <cacheSource type="worksheet">
    <worksheetSource ref="A23:B29" sheet="Employee_Benefits_Tables"/>
  </cacheSource>
  <cacheFields count="2">
    <cacheField name="Category" numFmtId="0">
      <sharedItems count="6">
        <s v="Permanent Employees – Male"/>
        <s v="Permanent Employees – Female"/>
        <s v="Permanent Employees – Total"/>
        <s v="Other Than Permanent Employees – Male"/>
        <s v="Other Than Permanent Employees – Female"/>
        <s v="Other Than Permanent Employees – Total"/>
      </sharedItems>
    </cacheField>
    <cacheField name="Value" numFmtId="165">
      <sharedItems containsSemiMixedTypes="0" containsString="0" containsNumber="1" minValue="0.57999999999999996"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580039814813" createdVersion="8" refreshedVersion="8" minRefreshableVersion="3" recordCount="6" xr:uid="{D0CAFEC2-B51D-4974-836E-893388E2A879}">
  <cacheSource type="worksheet">
    <worksheetSource ref="A5:B11" sheet="Worker_Benefits_Tables"/>
  </cacheSource>
  <cacheFields count="2">
    <cacheField name="Category" numFmtId="0">
      <sharedItems count="6">
        <s v="Permanent Workers – Male"/>
        <s v="Permanent Workers – Female"/>
        <s v="Permanent Workers – Total"/>
        <s v="Other than Permanent Workers – Male"/>
        <s v="Other than Permanent Workers – Female"/>
        <s v="Other than Permanent Workers – Total"/>
      </sharedItems>
    </cacheField>
    <cacheField name="Value" numFmtId="164">
      <sharedItems containsSemiMixedTypes="0" containsString="0" containsNumber="1" containsInteger="1" minValue="683" maxValue="2550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598860995371" createdVersion="8" refreshedVersion="8" minRefreshableVersion="3" recordCount="3" xr:uid="{5C733FF3-EFAE-4E0B-B550-A2FECB10DECB}">
  <cacheSource type="worksheet">
    <worksheetSource ref="C5:E8" sheet="Parental_Leave_Tables"/>
  </cacheSource>
  <cacheFields count="3">
    <cacheField name="Category" numFmtId="0">
      <sharedItems count="3">
        <s v="Male"/>
        <s v="Female"/>
        <s v="Total"/>
      </sharedItems>
    </cacheField>
    <cacheField name="Return to Work Rate" numFmtId="165">
      <sharedItems containsSemiMixedTypes="0" containsString="0" containsNumber="1" minValue="0.98" maxValue="1"/>
    </cacheField>
    <cacheField name="Retention Rate" numFmtId="165">
      <sharedItems containsSemiMixedTypes="0" containsString="0" containsNumber="1" minValue="0.84" maxValue="0.8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09268402775" createdVersion="8" refreshedVersion="8" minRefreshableVersion="3" recordCount="6" xr:uid="{AAB396E6-B40D-4726-87C8-A766FEA6DB76}">
  <cacheSource type="worksheet">
    <worksheetSource ref="A23:C29" sheet="Training_Coverage_Tables"/>
  </cacheSource>
  <cacheFields count="3">
    <cacheField name="Category" numFmtId="0">
      <sharedItems count="6">
        <s v="Employees – Male"/>
        <s v="Employees – Female"/>
        <s v="Employees – Total"/>
        <s v="Workers – Male"/>
        <s v="Workers – Female"/>
        <s v="Workers – Total"/>
      </sharedItems>
    </cacheField>
    <cacheField name="FY 2025-26" numFmtId="165">
      <sharedItems containsSemiMixedTypes="0" containsString="0" containsNumber="1" minValue="0.57999999999999996" maxValue="0.9"/>
    </cacheField>
    <cacheField name="FY 2024-25" numFmtId="165">
      <sharedItems containsSemiMixedTypes="0" containsString="0" containsNumber="1" minValue="0.33" maxValue="0.9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20347337965" createdVersion="8" refreshedVersion="8" minRefreshableVersion="3" recordCount="6" xr:uid="{63DFD6AE-80CA-4B90-95EC-52FA534DE6BA}">
  <cacheSource type="worksheet">
    <worksheetSource ref="A41:C47" sheet="Training_Coverage_Tables"/>
  </cacheSource>
  <cacheFields count="3">
    <cacheField name="Category" numFmtId="0">
      <sharedItems count="6">
        <s v="Employees – Male"/>
        <s v="Employees – Female"/>
        <s v="Employees – Total"/>
        <s v="Workers – Male"/>
        <s v="Workers – Female"/>
        <s v="Workers – Total"/>
      </sharedItems>
    </cacheField>
    <cacheField name="FY 2025-26" numFmtId="165">
      <sharedItems containsSemiMixedTypes="0" containsString="0" containsNumber="1" minValue="0.42" maxValue="0.63"/>
    </cacheField>
    <cacheField name="FY 2024-25" numFmtId="165">
      <sharedItems containsSemiMixedTypes="0" containsString="0" containsNumber="1" minValue="0.42" maxValue="0.7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2610671296" createdVersion="8" refreshedVersion="8" minRefreshableVersion="3" recordCount="6" xr:uid="{04E4F7F2-33AA-4920-AFF3-4D0EB86898CB}">
  <cacheSource type="worksheet">
    <worksheetSource ref="A23:C29" sheet="Performance_Reviews_Tables"/>
  </cacheSource>
  <cacheFields count="3">
    <cacheField name="Category" numFmtId="0">
      <sharedItems count="6">
        <s v="Employees – Male"/>
        <s v="Employees – Female"/>
        <s v="Employees – Total"/>
        <s v="Workers – Male"/>
        <s v="Workers – Female"/>
        <s v="Workers – Total"/>
      </sharedItems>
    </cacheField>
    <cacheField name="FY 2025-26" numFmtId="165">
      <sharedItems containsSemiMixedTypes="0" containsString="0" containsNumber="1" minValue="0.79" maxValue="1"/>
    </cacheField>
    <cacheField name="FY 2024-25" numFmtId="165">
      <sharedItems containsSemiMixedTypes="0" containsString="0" containsNumber="1" minValue="0.77"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31093750002" createdVersion="8" refreshedVersion="8" minRefreshableVersion="3" recordCount="8" xr:uid="{DFD30F77-B12C-4891-BBE2-3C990697F529}">
  <cacheSource type="worksheet">
    <worksheetSource ref="A5:C13" sheet="Safety_Incidents_Tables"/>
  </cacheSource>
  <cacheFields count="3">
    <cacheField name="Category" numFmtId="0">
      <sharedItems count="8">
        <s v="Lost Time Injury Frequency Rate (LTIFR) (per one million-person hours worked) – Employees"/>
        <s v="Lost Time Injury Frequency Rate (LTIFR) (per one million-person hours worked) – Workers"/>
        <s v="Total recordable work-related injuries – Employees"/>
        <s v="Total recordable work-related injuries – Workers"/>
        <s v="No. of fatalities – Employees"/>
        <s v="No. of fatalities – Workers"/>
        <s v="High consequence work-related injury or ill-health (excluding fatalities) – Employees"/>
        <s v="High consequence work-related injury or ill-health (excluding fatalities) – Workers"/>
      </sharedItems>
    </cacheField>
    <cacheField name="FY 2025-26" numFmtId="164">
      <sharedItems containsSemiMixedTypes="0" containsString="0" containsNumber="1" minValue="0" maxValue="4"/>
    </cacheField>
    <cacheField name="FY 2024-25" numFmtId="164">
      <sharedItems containsSemiMixedTypes="0" containsString="0" containsNumber="1" minValue="0" maxValue="1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42889351853" createdVersion="8" refreshedVersion="8" minRefreshableVersion="3" recordCount="4" xr:uid="{CCAA9A2A-8B9C-4598-BD50-F5543356DB72}">
  <cacheSource type="worksheet">
    <worksheetSource ref="G5:I9" sheet="Median_Remuneration_Tables"/>
  </cacheSource>
  <cacheFields count="3">
    <cacheField name="Category" numFmtId="0">
      <sharedItems count="4">
        <s v="Board of Directors (BoD)"/>
        <s v="Key Managerial Personnel*"/>
        <s v="Employees other than BoD and KMP"/>
        <s v="Workers"/>
      </sharedItems>
    </cacheField>
    <cacheField name="MALE REMUNERATION - AVG" numFmtId="0">
      <sharedItems containsSemiMixedTypes="0" containsString="0" containsNumber="1" minValue="51.176022376543209" maxValue="21072284.199999999"/>
    </cacheField>
    <cacheField name="FEMALE REMUNERATIONAVG" numFmtId="0">
      <sharedItems containsString="0" containsBlank="1" containsNumber="1" minValue="330.0497803806735" maxValue="3889954.33333333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51654398149" createdVersion="8" refreshedVersion="8" minRefreshableVersion="3" recordCount="1" xr:uid="{9AF839A7-8308-4518-AC59-CBCA23943A66}">
  <cacheSource type="worksheet">
    <worksheetSource ref="A5:C6" sheet="Gender_Pay_Gap_Tables"/>
  </cacheSource>
  <cacheFields count="3">
    <cacheField name="Category" numFmtId="0">
      <sharedItems count="1">
        <s v="Gross wages paid to females as % of total wages paid"/>
      </sharedItems>
    </cacheField>
    <cacheField name="FY 2025-26" numFmtId="165">
      <sharedItems containsSemiMixedTypes="0" containsString="0" containsNumber="1" minValue="0.11" maxValue="0.11"/>
    </cacheField>
    <cacheField name="FY 2024-25" numFmtId="165">
      <sharedItems containsSemiMixedTypes="0" containsString="0" containsNumber="1" minValue="0.1" maxValue="0.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57266435184" createdVersion="8" refreshedVersion="8" minRefreshableVersion="3" recordCount="4" xr:uid="{8BF48643-8F1F-4DA9-A558-26287D37E7A2}">
  <cacheSource type="worksheet">
    <worksheetSource ref="A5:C9" sheet="Sourcing_by_Location_Tables"/>
  </cacheSource>
  <cacheFields count="3">
    <cacheField name="Category" numFmtId="0">
      <sharedItems count="4">
        <s v="Rural"/>
        <s v="Semi-urban"/>
        <s v="Urban"/>
        <s v="Metropolitan"/>
      </sharedItems>
    </cacheField>
    <cacheField name="FY 2025-26" numFmtId="165">
      <sharedItems containsSemiMixedTypes="0" containsString="0" containsNumber="1" minValue="0.1" maxValue="0.56999999999999995"/>
    </cacheField>
    <cacheField name="FY 2024-25" numFmtId="165">
      <sharedItems containsSemiMixedTypes="0" containsString="0" containsNumber="1" minValue="0.1" maxValue="0.57999999999999996"/>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60909837963" createdVersion="8" refreshedVersion="8" minRefreshableVersion="3" recordCount="2" xr:uid="{58FF0F64-4132-484C-9C28-1DFDD9B52521}">
  <cacheSource type="worksheet">
    <worksheetSource ref="A5:C7" sheet="Sourcing_MSME_India_Tables"/>
  </cacheSource>
  <cacheFields count="3">
    <cacheField name="Category" numFmtId="0">
      <sharedItems count="2">
        <s v="Directly sourced from MSMEs/small producers"/>
        <s v="Directly from within India"/>
      </sharedItems>
    </cacheField>
    <cacheField name="FY 2025-26" numFmtId="165">
      <sharedItems containsSemiMixedTypes="0" containsString="0" containsNumber="1" minValue="0.32379999999999998" maxValue="0.92589999999999995"/>
    </cacheField>
    <cacheField name="FY 2024-25" numFmtId="165">
      <sharedItems containsSemiMixedTypes="0" containsString="0" containsNumber="1" minValue="0.29720000000000002" maxValue="0.92859999999999998"/>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64840625002" createdVersion="8" refreshedVersion="8" minRefreshableVersion="3" recordCount="14" xr:uid="{33DACEBD-C711-43D8-B08E-9109139DF7A9}">
  <cacheSource type="worksheet">
    <worksheetSource ref="A5:B19" sheet="CSR_Aspirational_Dist_Tables"/>
  </cacheSource>
  <cacheFields count="2">
    <cacheField name="Category" numFmtId="0">
      <sharedItems count="14">
        <s v="Telangana – Bhadradri Kothagudem"/>
        <s v="Uttarakhand – Haridwar"/>
        <s v="Odisha – Malkangiri"/>
        <s v="Madhya Pradesh – Vidisha"/>
        <s v="Assam – Darrang"/>
        <s v="Bihar – Begusarai"/>
        <s v="Rajasthan – Jaisalmer"/>
        <s v="Uttar Pradesh – Bahraich"/>
        <s v="Rajasthan – Baran"/>
        <s v="Uttar Pradesh – Chandauli"/>
        <s v="Maharashtra – Washim"/>
        <s v="Chhattisgarh – Sukma"/>
        <s v="Maharashtra – Nandurbar"/>
        <s v="Multiple* (17 States) – Multiple*"/>
      </sharedItems>
    </cacheField>
    <cacheField name="Value" numFmtId="164">
      <sharedItems containsSemiMixedTypes="0" containsString="0" containsNumber="1" minValue="114.4" maxValue="2992.35"/>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th R" refreshedDate="46208.671853703701" createdVersion="8" refreshedVersion="8" minRefreshableVersion="3" recordCount="9" xr:uid="{78ED8B0C-1830-4F3C-BCA4-7323BE844754}">
  <cacheSource type="worksheet">
    <worksheetSource ref="A5:B14" sheet="CSR_Beneficiaries_Tables"/>
  </cacheSource>
  <cacheFields count="2">
    <cacheField name="Category" numFmtId="0">
      <sharedItems count="9">
        <s v="Natural Resources Management - Water Stewardship"/>
        <s v="Climate Smart Agriculture"/>
        <s v="On-Farm Livelihood Diversification - Social Forestry"/>
        <s v="Off-Farm Livelihood Diversification - Improved Animal Husbandry Practices"/>
        <s v="Support To Education"/>
        <s v="Skilling Of Youth"/>
        <s v="Improving Health &amp; Sanitation - Waste Management"/>
        <s v="Improving Health &amp; Sanitation - Maternal And Child Health And Nutrition"/>
        <s v="Women Empowerment"/>
      </sharedItems>
    </cacheField>
    <cacheField name="Value" numFmtId="164">
      <sharedItems containsSemiMixedTypes="0" containsString="0" containsNumber="1" containsInteger="1" minValue="8950" maxValue="17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9362"/>
  </r>
  <r>
    <x v="1"/>
    <n v="2080"/>
  </r>
  <r>
    <x v="2"/>
    <n v="11442"/>
  </r>
  <r>
    <x v="3"/>
    <n v="440"/>
  </r>
  <r>
    <x v="4"/>
    <n v="196"/>
  </r>
  <r>
    <x v="5"/>
    <n v="6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
  </r>
  <r>
    <x v="1"/>
    <n v="1"/>
  </r>
  <r>
    <x v="2"/>
    <n v="1"/>
  </r>
  <r>
    <x v="3"/>
    <n v="0.67"/>
  </r>
  <r>
    <x v="4"/>
    <n v="0.57999999999999996"/>
  </r>
  <r>
    <x v="5"/>
    <n v="0.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0368"/>
  </r>
  <r>
    <x v="1"/>
    <n v="683"/>
  </r>
  <r>
    <x v="2"/>
    <n v="11051"/>
  </r>
  <r>
    <x v="3"/>
    <n v="21203"/>
  </r>
  <r>
    <x v="4"/>
    <n v="4305"/>
  </r>
  <r>
    <x v="5"/>
    <n v="25508"/>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
    <n v="0.86"/>
  </r>
  <r>
    <x v="1"/>
    <n v="0.98"/>
    <n v="0.84"/>
  </r>
  <r>
    <x v="2"/>
    <n v="1"/>
    <n v="0.8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7"/>
    <n v="0.4"/>
  </r>
  <r>
    <x v="1"/>
    <n v="0.57999999999999996"/>
    <n v="0.33"/>
  </r>
  <r>
    <x v="2"/>
    <n v="0.68"/>
    <n v="0.39"/>
  </r>
  <r>
    <x v="3"/>
    <n v="0.8"/>
    <n v="0.59"/>
  </r>
  <r>
    <x v="4"/>
    <n v="0.9"/>
    <n v="0.94"/>
  </r>
  <r>
    <x v="5"/>
    <n v="0.8"/>
    <n v="0.6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0.63"/>
    <n v="0.74"/>
  </r>
  <r>
    <x v="1"/>
    <n v="0.51"/>
    <n v="0.76"/>
  </r>
  <r>
    <x v="2"/>
    <n v="0.61"/>
    <n v="0.75"/>
  </r>
  <r>
    <x v="3"/>
    <n v="0.42"/>
    <n v="0.48"/>
  </r>
  <r>
    <x v="4"/>
    <n v="0.55000000000000004"/>
    <n v="0.42"/>
  </r>
  <r>
    <x v="5"/>
    <n v="0.43"/>
    <n v="0.48"/>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1"/>
    <n v="1"/>
  </r>
  <r>
    <x v="1"/>
    <n v="1"/>
    <n v="1"/>
  </r>
  <r>
    <x v="2"/>
    <n v="1"/>
    <n v="1"/>
  </r>
  <r>
    <x v="3"/>
    <n v="0.79"/>
    <n v="0.77"/>
  </r>
  <r>
    <x v="4"/>
    <n v="0.98"/>
    <n v="0.98"/>
  </r>
  <r>
    <x v="5"/>
    <n v="0.8"/>
    <n v="0.78"/>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0.02"/>
    <n v="0.04"/>
  </r>
  <r>
    <x v="1"/>
    <n v="0.06"/>
    <n v="0.16"/>
  </r>
  <r>
    <x v="2"/>
    <n v="1"/>
    <n v="2"/>
  </r>
  <r>
    <x v="3"/>
    <n v="4"/>
    <n v="11"/>
  </r>
  <r>
    <x v="4"/>
    <n v="0"/>
    <n v="0"/>
  </r>
  <r>
    <x v="5"/>
    <n v="1"/>
    <n v="2"/>
  </r>
  <r>
    <x v="6"/>
    <n v="0"/>
    <n v="0"/>
  </r>
  <r>
    <x v="7"/>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843928.57142857148"/>
    <n v="3889954.3333333335"/>
  </r>
  <r>
    <x v="1"/>
    <n v="21072284.199999999"/>
    <m/>
  </r>
  <r>
    <x v="2"/>
    <n v="121.35192903708453"/>
    <n v="455.15288461538461"/>
  </r>
  <r>
    <x v="3"/>
    <n v="51.176022376543209"/>
    <n v="330.049780380673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n v="0.11"/>
    <n v="0.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15"/>
    <n v="0.15"/>
  </r>
  <r>
    <x v="1"/>
    <n v="0.1"/>
    <n v="0.1"/>
  </r>
  <r>
    <x v="2"/>
    <n v="0.18"/>
    <n v="0.17"/>
  </r>
  <r>
    <x v="3"/>
    <n v="0.56999999999999995"/>
    <n v="0.57999999999999996"/>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0.32379999999999998"/>
    <n v="0.29720000000000002"/>
  </r>
  <r>
    <x v="1"/>
    <n v="0.92589999999999995"/>
    <n v="0.92859999999999998"/>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x v="0"/>
    <n v="2992.35"/>
  </r>
  <r>
    <x v="1"/>
    <n v="624.5"/>
  </r>
  <r>
    <x v="2"/>
    <n v="305.98"/>
  </r>
  <r>
    <x v="3"/>
    <n v="302.13"/>
  </r>
  <r>
    <x v="4"/>
    <n v="275.08"/>
  </r>
  <r>
    <x v="5"/>
    <n v="256.31"/>
  </r>
  <r>
    <x v="6"/>
    <n v="229.68"/>
  </r>
  <r>
    <x v="7"/>
    <n v="217.66"/>
  </r>
  <r>
    <x v="8"/>
    <n v="177.44"/>
  </r>
  <r>
    <x v="9"/>
    <n v="172.86"/>
  </r>
  <r>
    <x v="10"/>
    <n v="141.11000000000001"/>
  </r>
  <r>
    <x v="11"/>
    <n v="123.17"/>
  </r>
  <r>
    <x v="12"/>
    <n v="114.4"/>
  </r>
  <r>
    <x v="13"/>
    <n v="1016.94"/>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66870"/>
  </r>
  <r>
    <x v="1"/>
    <n v="1209000"/>
  </r>
  <r>
    <x v="2"/>
    <n v="8950"/>
  </r>
  <r>
    <x v="3"/>
    <n v="216000"/>
  </r>
  <r>
    <x v="4"/>
    <n v="1094000"/>
  </r>
  <r>
    <x v="5"/>
    <n v="17600"/>
  </r>
  <r>
    <x v="6"/>
    <n v="713000"/>
  </r>
  <r>
    <x v="7"/>
    <n v="1700000"/>
  </r>
  <r>
    <x v="8"/>
    <n v="9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1A5B2-E095-4091-9B7B-CB57C8F05C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5:G8" firstHeaderRow="1" firstDataRow="1" firstDataCol="1"/>
  <pivotFields count="2">
    <pivotField axis="axisRow" showAll="0">
      <items count="7">
        <item x="4"/>
        <item x="3"/>
        <item h="1" x="5"/>
        <item h="1" x="1"/>
        <item h="1" x="0"/>
        <item h="1" x="2"/>
        <item t="default"/>
      </items>
    </pivotField>
    <pivotField dataField="1" numFmtId="164" showAll="0"/>
  </pivotFields>
  <rowFields count="1">
    <field x="0"/>
  </rowFields>
  <rowItems count="3">
    <i>
      <x/>
    </i>
    <i>
      <x v="1"/>
    </i>
    <i t="grand">
      <x/>
    </i>
  </rowItems>
  <colItems count="1">
    <i/>
  </colItems>
  <dataFields count="1">
    <dataField name="Sum of Value" fld="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47060C-7615-4EEF-ACFB-48E3204C06C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5:E8" firstHeaderRow="1" firstDataRow="1" firstDataCol="1"/>
  <pivotFields count="2">
    <pivotField axis="axisRow" showAll="0">
      <items count="7">
        <item h="1" x="4"/>
        <item h="1" x="3"/>
        <item h="1" x="5"/>
        <item x="1"/>
        <item x="0"/>
        <item h="1" x="2"/>
        <item t="default"/>
      </items>
    </pivotField>
    <pivotField dataField="1" numFmtId="164" showAll="0"/>
  </pivotFields>
  <rowFields count="1">
    <field x="0"/>
  </rowFields>
  <rowItems count="3">
    <i>
      <x v="3"/>
    </i>
    <i>
      <x v="4"/>
    </i>
    <i t="grand">
      <x/>
    </i>
  </rowItems>
  <colItems count="1">
    <i/>
  </colItems>
  <dataFields count="1">
    <dataField name="Sum of Value" fld="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756957-617A-4E4C-AC59-2A1831E9862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23:G26" firstHeaderRow="1" firstDataRow="1" firstDataCol="1"/>
  <pivotFields count="2">
    <pivotField axis="axisRow" showAll="0">
      <items count="7">
        <item x="4"/>
        <item x="3"/>
        <item h="1" x="5"/>
        <item h="1" x="1"/>
        <item h="1" x="0"/>
        <item h="1" x="2"/>
        <item t="default"/>
      </items>
    </pivotField>
    <pivotField dataField="1" numFmtId="165" showAll="0"/>
  </pivotFields>
  <rowFields count="1">
    <field x="0"/>
  </rowFields>
  <rowItems count="3">
    <i>
      <x/>
    </i>
    <i>
      <x v="1"/>
    </i>
    <i t="grand">
      <x/>
    </i>
  </rowItems>
  <colItems count="1">
    <i/>
  </colItems>
  <dataFields count="1">
    <dataField name="Sum of Value" fld="1"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8C48D-5A60-41F2-BC9A-02E5EDC5B3B1}"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3:D26" firstHeaderRow="1" firstDataRow="1" firstDataCol="1"/>
  <pivotFields count="2">
    <pivotField axis="axisRow" showAll="0">
      <items count="7">
        <item h="1" x="4"/>
        <item h="1" x="3"/>
        <item h="1" x="5"/>
        <item x="1"/>
        <item x="0"/>
        <item h="1" x="2"/>
        <item t="default"/>
      </items>
    </pivotField>
    <pivotField dataField="1" numFmtId="165" showAll="0"/>
  </pivotFields>
  <rowFields count="1">
    <field x="0"/>
  </rowFields>
  <rowItems count="3">
    <i>
      <x v="3"/>
    </i>
    <i>
      <x v="4"/>
    </i>
    <i t="grand">
      <x/>
    </i>
  </rowItems>
  <colItems count="1">
    <i/>
  </colItems>
  <dataFields count="1">
    <dataField name="Sum of Value" fld="1" baseField="0" baseItem="0" numFmtId="165"/>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199922-EAAD-4DF6-917A-D4261E16AFA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5:D8" firstHeaderRow="1" firstDataRow="1" firstDataCol="1"/>
  <pivotFields count="2">
    <pivotField axis="axisRow" showAll="0">
      <items count="7">
        <item h="1" x="4"/>
        <item h="1" x="3"/>
        <item h="1" x="5"/>
        <item x="1"/>
        <item x="0"/>
        <item h="1" x="2"/>
        <item t="default"/>
      </items>
    </pivotField>
    <pivotField dataField="1" numFmtId="164" showAll="0"/>
  </pivotFields>
  <rowFields count="1">
    <field x="0"/>
  </rowFields>
  <rowItems count="3">
    <i>
      <x v="3"/>
    </i>
    <i>
      <x v="4"/>
    </i>
    <i t="grand">
      <x/>
    </i>
  </rowItems>
  <colItems count="1">
    <i/>
  </colItems>
  <dataFields count="1">
    <dataField name="Sum of Value" fld="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1A2E20-B2AB-47DC-B495-373BDC3D3C9F}"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F8" firstHeaderRow="1" firstDataRow="1" firstDataCol="1"/>
  <pivotFields count="2">
    <pivotField axis="axisRow" showAll="0">
      <items count="7">
        <item x="4"/>
        <item x="3"/>
        <item h="1" x="5"/>
        <item h="1" x="1"/>
        <item h="1" x="0"/>
        <item h="1" x="2"/>
        <item t="default"/>
      </items>
    </pivotField>
    <pivotField dataField="1" numFmtId="164" showAll="0"/>
  </pivotFields>
  <rowFields count="1">
    <field x="0"/>
  </rowFields>
  <rowItems count="3">
    <i>
      <x/>
    </i>
    <i>
      <x v="1"/>
    </i>
    <i t="grand">
      <x/>
    </i>
  </rowItems>
  <colItems count="1">
    <i/>
  </colItems>
  <dataFields count="1">
    <dataField name="Sum of Value" fld="1" baseField="0"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D89BCD-13D2-4ADC-B180-ABF3B0BCE630}"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5:H8" firstHeaderRow="0" firstDataRow="1" firstDataCol="1"/>
  <pivotFields count="3">
    <pivotField axis="axisRow" showAll="0">
      <items count="4">
        <item x="1"/>
        <item x="0"/>
        <item h="1" x="2"/>
        <item t="default"/>
      </items>
    </pivotField>
    <pivotField dataField="1" numFmtId="165" showAll="0"/>
    <pivotField dataField="1" numFmtId="165" showAll="0"/>
  </pivotFields>
  <rowFields count="1">
    <field x="0"/>
  </rowFields>
  <rowItems count="3">
    <i>
      <x/>
    </i>
    <i>
      <x v="1"/>
    </i>
    <i t="grand">
      <x/>
    </i>
  </rowItems>
  <colFields count="1">
    <field x="-2"/>
  </colFields>
  <colItems count="2">
    <i>
      <x/>
    </i>
    <i i="1">
      <x v="1"/>
    </i>
  </colItems>
  <dataFields count="2">
    <dataField name="Return to Work Rates" fld="1" baseField="0" baseItem="0" numFmtId="165"/>
    <dataField name=" Retention Rates"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1AC4B2-928C-4740-8A2B-08817B856011}"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40:H45" firstHeaderRow="0" firstDataRow="1" firstDataCol="1"/>
  <pivotFields count="3">
    <pivotField axis="axisRow" showAll="0">
      <items count="7">
        <item x="1"/>
        <item x="0"/>
        <item h="1" x="2"/>
        <item x="4"/>
        <item x="3"/>
        <item h="1" x="5"/>
        <item t="default"/>
      </items>
    </pivotField>
    <pivotField dataField="1" numFmtId="165" showAll="0"/>
    <pivotField dataField="1" numFmtId="165" showAll="0"/>
  </pivotFields>
  <rowFields count="1">
    <field x="0"/>
  </rowFields>
  <rowItems count="5">
    <i>
      <x/>
    </i>
    <i>
      <x v="1"/>
    </i>
    <i>
      <x v="3"/>
    </i>
    <i>
      <x v="4"/>
    </i>
    <i t="grand">
      <x/>
    </i>
  </rowItems>
  <colFields count="1">
    <field x="-2"/>
  </colFields>
  <colItems count="2">
    <i>
      <x/>
    </i>
    <i i="1">
      <x v="1"/>
    </i>
  </colItems>
  <dataFields count="2">
    <dataField name="FY 2025-2026" fld="1" baseField="0" baseItem="0" numFmtId="165"/>
    <dataField name=" FY 2024-20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58B0D5-5A13-439F-B8F5-93068E0CC03A}"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3:F28" firstHeaderRow="0" firstDataRow="1" firstDataCol="1"/>
  <pivotFields count="3">
    <pivotField axis="axisRow" showAll="0">
      <items count="7">
        <item x="1"/>
        <item x="0"/>
        <item h="1" x="2"/>
        <item x="4"/>
        <item x="3"/>
        <item h="1" x="5"/>
        <item t="default"/>
      </items>
    </pivotField>
    <pivotField dataField="1" numFmtId="165" showAll="0"/>
    <pivotField dataField="1" numFmtId="165" showAll="0"/>
  </pivotFields>
  <rowFields count="1">
    <field x="0"/>
  </rowFields>
  <rowItems count="5">
    <i>
      <x/>
    </i>
    <i>
      <x v="1"/>
    </i>
    <i>
      <x v="3"/>
    </i>
    <i>
      <x v="4"/>
    </i>
    <i t="grand">
      <x/>
    </i>
  </rowItems>
  <colFields count="1">
    <field x="-2"/>
  </colFields>
  <colItems count="2">
    <i>
      <x/>
    </i>
    <i i="1">
      <x v="1"/>
    </i>
  </colItems>
  <dataFields count="2">
    <dataField name="FY 2025-2026" fld="1" baseField="0" baseItem="0" numFmtId="165"/>
    <dataField name=" FY 2024-20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ED20C2-3CE3-480D-A5FF-B656AD555152}" name="PivotTable1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3:F28" firstHeaderRow="0" firstDataRow="1" firstDataCol="1"/>
  <pivotFields count="3">
    <pivotField axis="axisRow" showAll="0">
      <items count="7">
        <item x="1"/>
        <item x="0"/>
        <item h="1" x="2"/>
        <item x="4"/>
        <item x="3"/>
        <item h="1" x="5"/>
        <item t="default"/>
      </items>
    </pivotField>
    <pivotField dataField="1" numFmtId="165" showAll="0"/>
    <pivotField dataField="1" numFmtId="165" showAll="0"/>
  </pivotFields>
  <rowFields count="1">
    <field x="0"/>
  </rowFields>
  <rowItems count="5">
    <i>
      <x/>
    </i>
    <i>
      <x v="1"/>
    </i>
    <i>
      <x v="3"/>
    </i>
    <i>
      <x v="4"/>
    </i>
    <i t="grand">
      <x/>
    </i>
  </rowItems>
  <colFields count="1">
    <field x="-2"/>
  </colFields>
  <colItems count="2">
    <i>
      <x/>
    </i>
    <i i="1">
      <x v="1"/>
    </i>
  </colItems>
  <dataFields count="2">
    <dataField name=" FY 2025-2026" fld="1" baseField="0" baseItem="0" numFmtId="165"/>
    <dataField name="FY 2024-20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DC5C8C-586F-42D0-B9E8-5A7ED6A3EFE3}"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G14" firstHeaderRow="0" firstDataRow="1" firstDataCol="1"/>
  <pivotFields count="3">
    <pivotField axis="axisRow" showAll="0">
      <items count="9">
        <item x="6"/>
        <item x="7"/>
        <item x="0"/>
        <item x="1"/>
        <item x="4"/>
        <item x="5"/>
        <item x="2"/>
        <item x="3"/>
        <item t="default"/>
      </items>
    </pivotField>
    <pivotField dataField="1" numFmtId="164" showAll="0"/>
    <pivotField dataField="1" numFmtId="164" showAll="0"/>
  </pivotFields>
  <rowFields count="1">
    <field x="0"/>
  </rowFields>
  <rowItems count="9">
    <i>
      <x/>
    </i>
    <i>
      <x v="1"/>
    </i>
    <i>
      <x v="2"/>
    </i>
    <i>
      <x v="3"/>
    </i>
    <i>
      <x v="4"/>
    </i>
    <i>
      <x v="5"/>
    </i>
    <i>
      <x v="6"/>
    </i>
    <i>
      <x v="7"/>
    </i>
    <i t="grand">
      <x/>
    </i>
  </rowItems>
  <colFields count="1">
    <field x="-2"/>
  </colFields>
  <colItems count="2">
    <i>
      <x/>
    </i>
    <i i="1">
      <x v="1"/>
    </i>
  </colItems>
  <dataFields count="2">
    <dataField name="FY 2025-2026" fld="1" baseField="0" baseItem="0" numFmtId="164"/>
    <dataField name="FY 2024-2025" fld="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EF19254-3431-4EF4-BC0C-685A06763EC9}"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I17" firstHeaderRow="0" firstDataRow="1" firstDataCol="1"/>
  <pivotFields count="3">
    <pivotField axis="axisRow" showAll="0">
      <items count="5">
        <item x="0"/>
        <item x="2"/>
        <item x="1"/>
        <item x="3"/>
        <item t="default"/>
      </items>
    </pivotField>
    <pivotField dataField="1" showAll="0"/>
    <pivotField dataField="1" showAll="0"/>
  </pivotFields>
  <rowFields count="1">
    <field x="0"/>
  </rowFields>
  <rowItems count="5">
    <i>
      <x/>
    </i>
    <i>
      <x v="1"/>
    </i>
    <i>
      <x v="2"/>
    </i>
    <i>
      <x v="3"/>
    </i>
    <i t="grand">
      <x/>
    </i>
  </rowItems>
  <colFields count="1">
    <field x="-2"/>
  </colFields>
  <colItems count="2">
    <i>
      <x/>
    </i>
    <i i="1">
      <x v="1"/>
    </i>
  </colItems>
  <dataFields count="2">
    <dataField name="AVG - MALE REMUNERATION " fld="1" baseField="0" baseItem="0" numFmtId="1"/>
    <dataField name="AVG - FEMALE REMUNERATION" fld="2" baseField="0" baseItem="0" numFmtId="1"/>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F77A7BB-A0D7-41A6-A1EC-D6D07E8FED31}"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4:F6" firstHeaderRow="0" firstDataRow="1" firstDataCol="1"/>
  <pivotFields count="3">
    <pivotField axis="axisRow" showAll="0">
      <items count="2">
        <item x="0"/>
        <item t="default"/>
      </items>
    </pivotField>
    <pivotField dataField="1" numFmtId="165" showAll="0"/>
    <pivotField dataField="1" numFmtId="165" showAll="0"/>
  </pivotFields>
  <rowFields count="1">
    <field x="0"/>
  </rowFields>
  <rowItems count="2">
    <i>
      <x/>
    </i>
    <i t="grand">
      <x/>
    </i>
  </rowItems>
  <colFields count="1">
    <field x="-2"/>
  </colFields>
  <colItems count="2">
    <i>
      <x/>
    </i>
    <i i="1">
      <x v="1"/>
    </i>
  </colItems>
  <dataFields count="2">
    <dataField name="Sum of FY 2025-26" fld="1" baseField="0" baseItem="0" numFmtId="165"/>
    <dataField name="Sum of FY 2024-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A4935CB-27EB-40BF-AA01-6B6666C313C3}" name="PivotTable1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G10" firstHeaderRow="0" firstDataRow="1" firstDataCol="1"/>
  <pivotFields count="3">
    <pivotField axis="axisRow" showAll="0">
      <items count="5">
        <item x="3"/>
        <item x="0"/>
        <item x="1"/>
        <item x="2"/>
        <item t="default"/>
      </items>
    </pivotField>
    <pivotField dataField="1" numFmtId="165" showAll="0"/>
    <pivotField dataField="1" numFmtId="165" showAll="0"/>
  </pivotFields>
  <rowFields count="1">
    <field x="0"/>
  </rowFields>
  <rowItems count="5">
    <i>
      <x/>
    </i>
    <i>
      <x v="1"/>
    </i>
    <i>
      <x v="2"/>
    </i>
    <i>
      <x v="3"/>
    </i>
    <i t="grand">
      <x/>
    </i>
  </rowItems>
  <colFields count="1">
    <field x="-2"/>
  </colFields>
  <colItems count="2">
    <i>
      <x/>
    </i>
    <i i="1">
      <x v="1"/>
    </i>
  </colItems>
  <dataFields count="2">
    <dataField name="FY 2025-2026" fld="1" baseField="0" baseItem="0" numFmtId="165"/>
    <dataField name="FY 2024-20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83F46D-39E9-42D5-99A2-32FB3993E033}"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5:G8" firstHeaderRow="0" firstDataRow="1" firstDataCol="1"/>
  <pivotFields count="3">
    <pivotField axis="axisRow" showAll="0">
      <items count="3">
        <item x="1"/>
        <item x="0"/>
        <item t="default"/>
      </items>
    </pivotField>
    <pivotField dataField="1" numFmtId="165" showAll="0"/>
    <pivotField dataField="1" numFmtId="165" showAll="0"/>
  </pivotFields>
  <rowFields count="1">
    <field x="0"/>
  </rowFields>
  <rowItems count="3">
    <i>
      <x/>
    </i>
    <i>
      <x v="1"/>
    </i>
    <i t="grand">
      <x/>
    </i>
  </rowItems>
  <colFields count="1">
    <field x="-2"/>
  </colFields>
  <colItems count="2">
    <i>
      <x/>
    </i>
    <i i="1">
      <x v="1"/>
    </i>
  </colItems>
  <dataFields count="2">
    <dataField name=" FY 2025-2026" fld="1" baseField="0" baseItem="0" numFmtId="165"/>
    <dataField name="FY 2024-2025" fld="2"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8A875B-90EF-486A-A507-C0A9913EAB95}" name="PivotTable2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5:E20" firstHeaderRow="1" firstDataRow="1" firstDataCol="1"/>
  <pivotFields count="2">
    <pivotField axis="axisRow" showAll="0">
      <items count="15">
        <item x="4"/>
        <item x="5"/>
        <item x="11"/>
        <item x="3"/>
        <item x="12"/>
        <item x="10"/>
        <item x="13"/>
        <item x="2"/>
        <item x="8"/>
        <item x="6"/>
        <item x="0"/>
        <item x="7"/>
        <item x="9"/>
        <item x="1"/>
        <item t="default"/>
      </items>
    </pivotField>
    <pivotField dataField="1" numFmtId="164"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 Value in Lakhs" fld="1" baseField="0" baseItem="0" numFmtId="16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67E609A-381C-47F0-9B32-6360EBBBE074}" name="PivotTable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E15" firstHeaderRow="1" firstDataRow="1" firstDataCol="1"/>
  <pivotFields count="2">
    <pivotField axis="axisRow" showAll="0">
      <items count="10">
        <item x="1"/>
        <item x="7"/>
        <item x="6"/>
        <item x="0"/>
        <item x="3"/>
        <item x="2"/>
        <item x="5"/>
        <item x="4"/>
        <item x="8"/>
        <item t="default"/>
      </items>
    </pivotField>
    <pivotField dataField="1" numFmtId="164" showAll="0"/>
  </pivotFields>
  <rowFields count="1">
    <field x="0"/>
  </rowFields>
  <rowItems count="10">
    <i>
      <x/>
    </i>
    <i>
      <x v="1"/>
    </i>
    <i>
      <x v="2"/>
    </i>
    <i>
      <x v="3"/>
    </i>
    <i>
      <x v="4"/>
    </i>
    <i>
      <x v="5"/>
    </i>
    <i>
      <x v="6"/>
    </i>
    <i>
      <x v="7"/>
    </i>
    <i>
      <x v="8"/>
    </i>
    <i t="grand">
      <x/>
    </i>
  </rowItems>
  <colItems count="1">
    <i/>
  </colItems>
  <dataFields count="1">
    <dataField name="NUMBER OF BENEFICIARIES" fld="1" baseField="0" baseItem="0" numFmtId="16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7.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7.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1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11.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ivotTable" Target="../pivotTables/pivotTable12.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ivotTable" Target="../pivotTables/pivotTable13.xml"/></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14.xml"/></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ivotTable" Target="../pivotTables/pivotTable15.xml"/></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ivotTable" Target="../pivotTables/pivotTable16.xm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CE63-33D9-48E4-A312-3C3424F019CC}">
  <dimension ref="A1:AI78"/>
  <sheetViews>
    <sheetView showGridLines="0" tabSelected="1" zoomScale="89" zoomScaleNormal="89" workbookViewId="0">
      <selection sqref="A1:AF6"/>
    </sheetView>
  </sheetViews>
  <sheetFormatPr defaultRowHeight="14.4" x14ac:dyDescent="0.3"/>
  <cols>
    <col min="1" max="1" width="8.88671875" style="26"/>
    <col min="2" max="31" width="8.88671875" style="27"/>
    <col min="32" max="32" width="8.88671875" style="29"/>
    <col min="33" max="35" width="8.88671875" style="25"/>
  </cols>
  <sheetData>
    <row r="1" spans="1:32" ht="14.4" customHeight="1" x14ac:dyDescent="0.3">
      <c r="A1" s="48" t="s">
        <v>788</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4"/>
    </row>
    <row r="2" spans="1:32" ht="14.4" customHeight="1" x14ac:dyDescent="0.3">
      <c r="A2" s="35"/>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7"/>
    </row>
    <row r="3" spans="1:32" ht="14.4" customHeight="1" x14ac:dyDescent="0.3">
      <c r="A3" s="35"/>
      <c r="B3" s="36"/>
      <c r="C3" s="36"/>
      <c r="D3" s="36"/>
      <c r="E3" s="36"/>
      <c r="F3" s="36"/>
      <c r="G3" s="36"/>
      <c r="H3" s="36"/>
      <c r="I3" s="36"/>
      <c r="J3" s="36"/>
      <c r="K3" s="36"/>
      <c r="L3" s="36"/>
      <c r="M3" s="36"/>
      <c r="N3" s="36"/>
      <c r="O3" s="36"/>
      <c r="P3" s="36"/>
      <c r="Q3" s="36"/>
      <c r="R3" s="36"/>
      <c r="S3" s="36"/>
      <c r="T3" s="36"/>
      <c r="U3" s="36"/>
      <c r="V3" s="36"/>
      <c r="W3" s="36"/>
      <c r="X3" s="36"/>
      <c r="Y3" s="36"/>
      <c r="Z3" s="36"/>
      <c r="AA3" s="36"/>
      <c r="AB3" s="36"/>
      <c r="AC3" s="36"/>
      <c r="AD3" s="36"/>
      <c r="AE3" s="36"/>
      <c r="AF3" s="37"/>
    </row>
    <row r="4" spans="1:32" ht="14.4" customHeight="1" x14ac:dyDescent="0.3">
      <c r="A4" s="35"/>
      <c r="B4" s="36"/>
      <c r="C4" s="36"/>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7"/>
    </row>
    <row r="5" spans="1:32" ht="14.4" customHeight="1" x14ac:dyDescent="0.3">
      <c r="A5" s="35"/>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7"/>
    </row>
    <row r="6" spans="1:32" ht="15" customHeight="1" thickBot="1" x14ac:dyDescent="0.35">
      <c r="A6" s="38"/>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40"/>
    </row>
    <row r="7" spans="1:32" x14ac:dyDescent="0.3">
      <c r="E7" s="28"/>
      <c r="U7" s="28"/>
    </row>
    <row r="78" spans="1:32" ht="15" thickBot="1" x14ac:dyDescent="0.35">
      <c r="A78" s="30"/>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2"/>
    </row>
  </sheetData>
  <mergeCells count="1">
    <mergeCell ref="A1:AF6"/>
  </mergeCells>
  <phoneticPr fontId="15" type="noConversion"/>
  <pageMargins left="0.11811023622047245" right="0.11811023622047245" top="0.19685039370078741" bottom="0.15748031496062992" header="0.31496062992125984" footer="0.31496062992125984"/>
  <pageSetup paperSize="9" scale="5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showGridLines="0" zoomScaleNormal="100" workbookViewId="0">
      <selection activeCell="B26" sqref="B26"/>
    </sheetView>
  </sheetViews>
  <sheetFormatPr defaultColWidth="8.6640625" defaultRowHeight="14.4" x14ac:dyDescent="0.3"/>
  <cols>
    <col min="1" max="1" width="12" customWidth="1"/>
    <col min="2" max="2" width="95" customWidth="1"/>
    <col min="3" max="3" width="70" customWidth="1"/>
  </cols>
  <sheetData>
    <row r="1" spans="1:6" ht="69.75" customHeight="1" x14ac:dyDescent="0.3">
      <c r="A1" s="41" t="s">
        <v>0</v>
      </c>
      <c r="B1" s="41"/>
      <c r="C1" s="41"/>
      <c r="D1" s="41"/>
      <c r="E1" s="41"/>
      <c r="F1" s="41"/>
    </row>
    <row r="2" spans="1:6" x14ac:dyDescent="0.3">
      <c r="A2" s="41"/>
      <c r="B2" s="41"/>
      <c r="C2" s="41"/>
      <c r="D2" s="41"/>
      <c r="E2" s="41"/>
      <c r="F2" s="41"/>
    </row>
    <row r="3" spans="1:6" x14ac:dyDescent="0.3">
      <c r="A3" s="41"/>
      <c r="B3" s="41"/>
      <c r="C3" s="41"/>
      <c r="D3" s="41"/>
      <c r="E3" s="41"/>
      <c r="F3" s="41"/>
    </row>
    <row r="5" spans="1:6" ht="30" customHeight="1" x14ac:dyDescent="0.3">
      <c r="A5" s="3" t="s">
        <v>1</v>
      </c>
      <c r="B5" s="4" t="s">
        <v>2</v>
      </c>
    </row>
    <row r="6" spans="1:6" ht="30" customHeight="1" x14ac:dyDescent="0.3">
      <c r="A6" s="3" t="s">
        <v>3</v>
      </c>
      <c r="B6" s="4" t="s">
        <v>4</v>
      </c>
    </row>
    <row r="7" spans="1:6" ht="30" customHeight="1" x14ac:dyDescent="0.3">
      <c r="A7" s="3" t="s">
        <v>5</v>
      </c>
      <c r="B7" s="4" t="s">
        <v>6</v>
      </c>
    </row>
    <row r="8" spans="1:6" ht="30" customHeight="1" x14ac:dyDescent="0.3">
      <c r="A8" s="3" t="s">
        <v>7</v>
      </c>
      <c r="B8" s="4" t="s">
        <v>8</v>
      </c>
    </row>
    <row r="10" spans="1:6" ht="15.6" x14ac:dyDescent="0.3">
      <c r="A10" s="5" t="s">
        <v>9</v>
      </c>
    </row>
    <row r="11" spans="1:6" x14ac:dyDescent="0.3">
      <c r="A11" s="6" t="s">
        <v>10</v>
      </c>
      <c r="B11" s="6" t="s">
        <v>11</v>
      </c>
      <c r="C11" s="6" t="s">
        <v>12</v>
      </c>
    </row>
    <row r="12" spans="1:6" x14ac:dyDescent="0.3">
      <c r="A12">
        <v>1</v>
      </c>
      <c r="B12" t="s">
        <v>13</v>
      </c>
      <c r="C12" t="s">
        <v>14</v>
      </c>
    </row>
    <row r="13" spans="1:6" x14ac:dyDescent="0.3">
      <c r="A13">
        <v>2</v>
      </c>
      <c r="B13" t="s">
        <v>15</v>
      </c>
      <c r="C13" t="s">
        <v>16</v>
      </c>
    </row>
    <row r="14" spans="1:6" x14ac:dyDescent="0.3">
      <c r="A14">
        <v>3</v>
      </c>
      <c r="B14" t="s">
        <v>17</v>
      </c>
      <c r="C14" t="s">
        <v>18</v>
      </c>
    </row>
    <row r="15" spans="1:6" x14ac:dyDescent="0.3">
      <c r="A15">
        <v>4</v>
      </c>
      <c r="B15" t="s">
        <v>19</v>
      </c>
      <c r="C15" t="s">
        <v>20</v>
      </c>
    </row>
    <row r="16" spans="1:6" x14ac:dyDescent="0.3">
      <c r="A16">
        <v>5</v>
      </c>
      <c r="B16" t="s">
        <v>21</v>
      </c>
      <c r="C16" t="s">
        <v>22</v>
      </c>
    </row>
    <row r="17" spans="1:3" x14ac:dyDescent="0.3">
      <c r="A17">
        <v>6</v>
      </c>
      <c r="B17" t="s">
        <v>23</v>
      </c>
      <c r="C17" t="s">
        <v>24</v>
      </c>
    </row>
    <row r="18" spans="1:3" x14ac:dyDescent="0.3">
      <c r="A18">
        <v>7</v>
      </c>
      <c r="B18" t="s">
        <v>25</v>
      </c>
      <c r="C18" t="s">
        <v>26</v>
      </c>
    </row>
    <row r="19" spans="1:3" x14ac:dyDescent="0.3">
      <c r="A19">
        <v>8</v>
      </c>
      <c r="B19" t="s">
        <v>27</v>
      </c>
      <c r="C19" t="s">
        <v>28</v>
      </c>
    </row>
    <row r="20" spans="1:3" x14ac:dyDescent="0.3">
      <c r="A20">
        <v>9</v>
      </c>
      <c r="B20" t="s">
        <v>29</v>
      </c>
      <c r="C20" t="s">
        <v>30</v>
      </c>
    </row>
    <row r="21" spans="1:3" x14ac:dyDescent="0.3">
      <c r="A21">
        <v>10</v>
      </c>
      <c r="B21" t="s">
        <v>31</v>
      </c>
      <c r="C21" t="s">
        <v>32</v>
      </c>
    </row>
    <row r="22" spans="1:3" x14ac:dyDescent="0.3">
      <c r="A22">
        <v>11</v>
      </c>
      <c r="B22" t="s">
        <v>33</v>
      </c>
      <c r="C22" t="s">
        <v>34</v>
      </c>
    </row>
    <row r="23" spans="1:3" x14ac:dyDescent="0.3">
      <c r="A23">
        <v>12</v>
      </c>
      <c r="B23" t="s">
        <v>35</v>
      </c>
      <c r="C23" t="s">
        <v>36</v>
      </c>
    </row>
    <row r="24" spans="1:3" x14ac:dyDescent="0.3">
      <c r="A24">
        <v>13</v>
      </c>
      <c r="B24" t="s">
        <v>37</v>
      </c>
      <c r="C24" t="s">
        <v>38</v>
      </c>
    </row>
    <row r="25" spans="1:3" x14ac:dyDescent="0.3">
      <c r="A25">
        <v>14</v>
      </c>
      <c r="B25" t="s">
        <v>39</v>
      </c>
      <c r="C25" t="s">
        <v>40</v>
      </c>
    </row>
    <row r="26" spans="1:3" x14ac:dyDescent="0.3">
      <c r="A26">
        <v>15</v>
      </c>
      <c r="B26" t="s">
        <v>41</v>
      </c>
      <c r="C26" t="s">
        <v>42</v>
      </c>
    </row>
    <row r="27" spans="1:3" x14ac:dyDescent="0.3">
      <c r="A27">
        <v>16</v>
      </c>
      <c r="B27" t="s">
        <v>43</v>
      </c>
      <c r="C27" t="s">
        <v>44</v>
      </c>
    </row>
    <row r="28" spans="1:3" x14ac:dyDescent="0.3">
      <c r="A28">
        <v>17</v>
      </c>
      <c r="B28" t="s">
        <v>45</v>
      </c>
      <c r="C28" t="s">
        <v>46</v>
      </c>
    </row>
    <row r="29" spans="1:3" x14ac:dyDescent="0.3">
      <c r="A29">
        <v>18</v>
      </c>
      <c r="B29" t="s">
        <v>47</v>
      </c>
      <c r="C29" t="s">
        <v>48</v>
      </c>
    </row>
    <row r="30" spans="1:3" x14ac:dyDescent="0.3">
      <c r="A30">
        <v>19</v>
      </c>
      <c r="B30" t="s">
        <v>49</v>
      </c>
      <c r="C30" t="s">
        <v>50</v>
      </c>
    </row>
    <row r="31" spans="1:3" x14ac:dyDescent="0.3">
      <c r="A31">
        <v>20</v>
      </c>
      <c r="B31" t="s">
        <v>51</v>
      </c>
      <c r="C31" t="s">
        <v>52</v>
      </c>
    </row>
    <row r="32" spans="1:3" x14ac:dyDescent="0.3">
      <c r="A32">
        <v>21</v>
      </c>
      <c r="B32" t="s">
        <v>53</v>
      </c>
      <c r="C32" t="s">
        <v>54</v>
      </c>
    </row>
    <row r="33" spans="1:3" x14ac:dyDescent="0.3">
      <c r="A33">
        <v>22</v>
      </c>
      <c r="B33" t="s">
        <v>55</v>
      </c>
      <c r="C33" t="s">
        <v>56</v>
      </c>
    </row>
    <row r="34" spans="1:3" x14ac:dyDescent="0.3">
      <c r="A34">
        <v>23</v>
      </c>
      <c r="B34" t="s">
        <v>57</v>
      </c>
      <c r="C34" t="s">
        <v>58</v>
      </c>
    </row>
    <row r="35" spans="1:3" x14ac:dyDescent="0.3">
      <c r="A35">
        <v>24</v>
      </c>
      <c r="B35" t="s">
        <v>59</v>
      </c>
      <c r="C35" t="s">
        <v>60</v>
      </c>
    </row>
    <row r="36" spans="1:3" x14ac:dyDescent="0.3">
      <c r="A36">
        <v>25</v>
      </c>
      <c r="B36" t="s">
        <v>61</v>
      </c>
      <c r="C36" t="s">
        <v>62</v>
      </c>
    </row>
    <row r="37" spans="1:3" x14ac:dyDescent="0.3">
      <c r="A37">
        <v>26</v>
      </c>
      <c r="B37" t="s">
        <v>63</v>
      </c>
      <c r="C37" t="s">
        <v>64</v>
      </c>
    </row>
    <row r="38" spans="1:3" x14ac:dyDescent="0.3">
      <c r="A38">
        <v>27</v>
      </c>
      <c r="B38" t="s">
        <v>65</v>
      </c>
      <c r="C38" t="s">
        <v>66</v>
      </c>
    </row>
    <row r="39" spans="1:3" x14ac:dyDescent="0.3">
      <c r="A39">
        <v>28</v>
      </c>
      <c r="B39" t="s">
        <v>67</v>
      </c>
      <c r="C39" t="s">
        <v>68</v>
      </c>
    </row>
    <row r="40" spans="1:3" x14ac:dyDescent="0.3">
      <c r="A40">
        <v>29</v>
      </c>
      <c r="B40" t="s">
        <v>69</v>
      </c>
      <c r="C40" t="s">
        <v>70</v>
      </c>
    </row>
    <row r="41" spans="1:3" x14ac:dyDescent="0.3">
      <c r="A41">
        <v>30</v>
      </c>
      <c r="B41" t="s">
        <v>71</v>
      </c>
      <c r="C41" t="s">
        <v>72</v>
      </c>
    </row>
    <row r="42" spans="1:3" x14ac:dyDescent="0.3">
      <c r="A42">
        <v>31</v>
      </c>
      <c r="B42" t="s">
        <v>73</v>
      </c>
      <c r="C42" t="s">
        <v>74</v>
      </c>
    </row>
    <row r="43" spans="1:3" x14ac:dyDescent="0.3">
      <c r="A43">
        <v>32</v>
      </c>
      <c r="B43" t="s">
        <v>75</v>
      </c>
      <c r="C43" t="s">
        <v>76</v>
      </c>
    </row>
    <row r="44" spans="1:3" x14ac:dyDescent="0.3">
      <c r="A44">
        <v>33</v>
      </c>
      <c r="B44" t="s">
        <v>77</v>
      </c>
      <c r="C44" t="s">
        <v>78</v>
      </c>
    </row>
    <row r="45" spans="1:3" x14ac:dyDescent="0.3">
      <c r="A45">
        <v>34</v>
      </c>
      <c r="B45" t="s">
        <v>79</v>
      </c>
      <c r="C45" t="s">
        <v>80</v>
      </c>
    </row>
    <row r="46" spans="1:3" x14ac:dyDescent="0.3">
      <c r="A46">
        <v>35</v>
      </c>
      <c r="B46" t="s">
        <v>81</v>
      </c>
      <c r="C46" t="s">
        <v>82</v>
      </c>
    </row>
  </sheetData>
  <mergeCells count="1">
    <mergeCell ref="A1:F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
  <sheetViews>
    <sheetView showGridLines="0" zoomScaleNormal="100" workbookViewId="0">
      <pane xSplit="1" ySplit="5" topLeftCell="B6" activePane="bottomRight" state="frozen"/>
      <selection pane="topRight" activeCell="B1" sqref="B1"/>
      <selection pane="bottomLeft" activeCell="A6" sqref="A6"/>
      <selection pane="bottomRight"/>
    </sheetView>
  </sheetViews>
  <sheetFormatPr defaultColWidth="8.6640625" defaultRowHeight="14.4" x14ac:dyDescent="0.3"/>
  <cols>
    <col min="1" max="1" width="32" customWidth="1"/>
    <col min="2" max="2" width="38" customWidth="1"/>
    <col min="3" max="3" width="16" customWidth="1"/>
    <col min="4" max="4" width="17" customWidth="1"/>
    <col min="5" max="5" width="39" customWidth="1"/>
    <col min="6" max="6" width="16" customWidth="1"/>
    <col min="7" max="7" width="17" customWidth="1"/>
  </cols>
  <sheetData>
    <row r="1" spans="1:7" ht="25.5" customHeight="1" x14ac:dyDescent="0.3">
      <c r="A1" s="42" t="s">
        <v>83</v>
      </c>
      <c r="B1" s="42"/>
      <c r="C1" s="42"/>
      <c r="D1" s="42"/>
      <c r="E1" s="42"/>
      <c r="F1" s="42"/>
      <c r="G1" s="42"/>
    </row>
    <row r="2" spans="1:7" ht="15.75" customHeight="1" x14ac:dyDescent="0.3">
      <c r="A2" s="43" t="s">
        <v>84</v>
      </c>
      <c r="B2" s="43"/>
      <c r="C2" s="43"/>
      <c r="D2" s="43"/>
      <c r="E2" s="43"/>
      <c r="F2" s="43"/>
      <c r="G2" s="43"/>
    </row>
    <row r="4" spans="1:7" ht="30" customHeight="1" x14ac:dyDescent="0.3">
      <c r="A4" s="2"/>
      <c r="B4" s="44" t="s">
        <v>85</v>
      </c>
      <c r="C4" s="44"/>
      <c r="D4" s="44"/>
      <c r="E4" s="44" t="s">
        <v>86</v>
      </c>
      <c r="F4" s="44"/>
      <c r="G4" s="44"/>
    </row>
    <row r="5" spans="1:7" ht="30" customHeight="1" x14ac:dyDescent="0.3">
      <c r="A5" s="2"/>
      <c r="B5" s="2" t="s">
        <v>87</v>
      </c>
      <c r="C5" s="2" t="s">
        <v>88</v>
      </c>
      <c r="D5" s="2" t="s">
        <v>89</v>
      </c>
      <c r="E5" s="2" t="s">
        <v>87</v>
      </c>
      <c r="F5" s="2" t="s">
        <v>88</v>
      </c>
      <c r="G5" s="2" t="s">
        <v>89</v>
      </c>
    </row>
    <row r="6" spans="1:7" x14ac:dyDescent="0.3">
      <c r="A6" s="7" t="s">
        <v>90</v>
      </c>
      <c r="B6" s="8" t="s">
        <v>91</v>
      </c>
      <c r="C6" s="8" t="s">
        <v>92</v>
      </c>
      <c r="D6" s="8" t="s">
        <v>93</v>
      </c>
      <c r="E6" s="8" t="s">
        <v>91</v>
      </c>
      <c r="F6" s="8" t="s">
        <v>94</v>
      </c>
      <c r="G6" s="8" t="s">
        <v>95</v>
      </c>
    </row>
    <row r="7" spans="1:7" x14ac:dyDescent="0.3">
      <c r="A7" s="9" t="s">
        <v>96</v>
      </c>
      <c r="B7" s="10" t="s">
        <v>97</v>
      </c>
      <c r="C7" s="10" t="s">
        <v>97</v>
      </c>
      <c r="D7" s="10" t="s">
        <v>97</v>
      </c>
      <c r="E7" s="10" t="s">
        <v>97</v>
      </c>
      <c r="F7" s="10" t="s">
        <v>97</v>
      </c>
      <c r="G7" s="10" t="s">
        <v>97</v>
      </c>
    </row>
    <row r="8" spans="1:7" x14ac:dyDescent="0.3">
      <c r="A8" s="7" t="s">
        <v>98</v>
      </c>
      <c r="B8" s="8" t="s">
        <v>97</v>
      </c>
      <c r="C8" s="8" t="s">
        <v>97</v>
      </c>
      <c r="D8" s="8" t="s">
        <v>97</v>
      </c>
      <c r="E8" s="8" t="s">
        <v>97</v>
      </c>
      <c r="F8" s="8" t="s">
        <v>97</v>
      </c>
      <c r="G8" s="8" t="s">
        <v>97</v>
      </c>
    </row>
    <row r="9" spans="1:7" x14ac:dyDescent="0.3">
      <c r="A9" s="9" t="s">
        <v>99</v>
      </c>
      <c r="B9" s="10" t="s">
        <v>97</v>
      </c>
      <c r="C9" s="10" t="s">
        <v>97</v>
      </c>
      <c r="D9" s="10" t="s">
        <v>97</v>
      </c>
      <c r="E9" s="10" t="s">
        <v>97</v>
      </c>
      <c r="F9" s="10" t="s">
        <v>97</v>
      </c>
      <c r="G9" s="10" t="s">
        <v>97</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showGridLines="0" zoomScaleNormal="100" workbookViewId="0"/>
  </sheetViews>
  <sheetFormatPr defaultColWidth="8.6640625" defaultRowHeight="14.4" x14ac:dyDescent="0.3"/>
  <cols>
    <col min="1" max="1" width="32" customWidth="1"/>
    <col min="2" max="3" width="14" customWidth="1"/>
  </cols>
  <sheetData>
    <row r="1" spans="1:3" ht="25.5" customHeight="1" x14ac:dyDescent="0.3">
      <c r="A1" s="42" t="s">
        <v>100</v>
      </c>
      <c r="B1" s="42"/>
      <c r="C1" s="42"/>
    </row>
    <row r="2" spans="1:3" ht="15.75" customHeight="1" x14ac:dyDescent="0.3">
      <c r="A2" s="43" t="s">
        <v>101</v>
      </c>
      <c r="B2" s="43"/>
      <c r="C2" s="43"/>
    </row>
    <row r="4" spans="1:3" ht="19.5" customHeight="1" x14ac:dyDescent="0.3">
      <c r="A4" s="45" t="s">
        <v>102</v>
      </c>
      <c r="B4" s="45"/>
      <c r="C4" s="45"/>
    </row>
    <row r="5" spans="1:3" x14ac:dyDescent="0.3">
      <c r="A5" s="2" t="s">
        <v>103</v>
      </c>
      <c r="B5" s="2" t="s">
        <v>104</v>
      </c>
      <c r="C5" s="2" t="s">
        <v>105</v>
      </c>
    </row>
    <row r="6" spans="1:3" x14ac:dyDescent="0.3">
      <c r="A6" s="7" t="s">
        <v>90</v>
      </c>
      <c r="B6" s="11">
        <v>31200</v>
      </c>
      <c r="C6" s="11">
        <v>26600</v>
      </c>
    </row>
    <row r="7" spans="1:3" x14ac:dyDescent="0.3">
      <c r="A7" s="9" t="s">
        <v>96</v>
      </c>
      <c r="B7" s="10"/>
      <c r="C7" s="10"/>
    </row>
    <row r="8" spans="1:3" x14ac:dyDescent="0.3">
      <c r="A8" s="7" t="s">
        <v>98</v>
      </c>
      <c r="B8" s="8"/>
      <c r="C8" s="8"/>
    </row>
    <row r="9" spans="1:3" x14ac:dyDescent="0.3">
      <c r="A9" s="9" t="s">
        <v>99</v>
      </c>
      <c r="B9" s="10"/>
      <c r="C9" s="10"/>
    </row>
    <row r="11" spans="1:3" ht="19.5" customHeight="1" x14ac:dyDescent="0.3">
      <c r="A11" s="45" t="s">
        <v>106</v>
      </c>
      <c r="B11" s="45"/>
      <c r="C11" s="45"/>
    </row>
    <row r="12" spans="1:3" x14ac:dyDescent="0.3">
      <c r="A12" s="2" t="s">
        <v>103</v>
      </c>
      <c r="B12" s="2" t="s">
        <v>104</v>
      </c>
      <c r="C12" s="2" t="s">
        <v>105</v>
      </c>
    </row>
    <row r="13" spans="1:3" x14ac:dyDescent="0.3">
      <c r="A13" s="7" t="s">
        <v>90</v>
      </c>
      <c r="B13" s="11">
        <v>41300</v>
      </c>
      <c r="C13" s="11">
        <v>37900</v>
      </c>
    </row>
    <row r="14" spans="1:3" x14ac:dyDescent="0.3">
      <c r="A14" s="9" t="s">
        <v>96</v>
      </c>
      <c r="B14" s="10"/>
      <c r="C14" s="10"/>
    </row>
    <row r="15" spans="1:3" x14ac:dyDescent="0.3">
      <c r="A15" s="7" t="s">
        <v>98</v>
      </c>
      <c r="B15" s="8"/>
      <c r="C15" s="8"/>
    </row>
    <row r="16" spans="1:3" x14ac:dyDescent="0.3">
      <c r="A16" s="9" t="s">
        <v>99</v>
      </c>
      <c r="B16" s="10"/>
      <c r="C16" s="10"/>
    </row>
  </sheetData>
  <mergeCells count="4">
    <mergeCell ref="A1:C1"/>
    <mergeCell ref="A2:C2"/>
    <mergeCell ref="A4:C4"/>
    <mergeCell ref="A11:C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showGridLines="0" zoomScaleNormal="100" workbookViewId="0">
      <pane xSplit="1" ySplit="4" topLeftCell="B5" activePane="bottomRight" state="frozen"/>
      <selection pane="topRight" activeCell="B1" sqref="B1"/>
      <selection pane="bottomLeft" activeCell="A5" sqref="A5"/>
      <selection pane="bottomRight" activeCell="C1" sqref="C1"/>
    </sheetView>
  </sheetViews>
  <sheetFormatPr defaultColWidth="8.6640625" defaultRowHeight="14.4" x14ac:dyDescent="0.3"/>
  <cols>
    <col min="1" max="1" width="30" customWidth="1"/>
    <col min="2" max="2" width="47" customWidth="1"/>
  </cols>
  <sheetData>
    <row r="1" spans="1:2" ht="25.5" customHeight="1" x14ac:dyDescent="0.3">
      <c r="A1" s="42" t="s">
        <v>107</v>
      </c>
      <c r="B1" s="42"/>
    </row>
    <row r="2" spans="1:2" ht="15.75" customHeight="1" x14ac:dyDescent="0.3">
      <c r="A2" s="43" t="s">
        <v>84</v>
      </c>
      <c r="B2" s="43"/>
    </row>
    <row r="4" spans="1:2" ht="30" customHeight="1" x14ac:dyDescent="0.3">
      <c r="A4" s="2" t="s">
        <v>108</v>
      </c>
      <c r="B4" s="2" t="s">
        <v>109</v>
      </c>
    </row>
    <row r="5" spans="1:2" x14ac:dyDescent="0.3">
      <c r="A5" s="7" t="s">
        <v>110</v>
      </c>
      <c r="B5" s="8" t="s">
        <v>111</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showGridLines="0" zoomScaleNormal="100" workbookViewId="0">
      <selection sqref="A1:B1"/>
    </sheetView>
  </sheetViews>
  <sheetFormatPr defaultColWidth="8.6640625" defaultRowHeight="14.4" x14ac:dyDescent="0.3"/>
  <cols>
    <col min="1" max="1" width="19" customWidth="1"/>
    <col min="2" max="2" width="14" customWidth="1"/>
  </cols>
  <sheetData>
    <row r="1" spans="1:2" ht="25.5" customHeight="1" x14ac:dyDescent="0.3">
      <c r="A1" s="42" t="s">
        <v>112</v>
      </c>
      <c r="B1" s="42"/>
    </row>
    <row r="2" spans="1:2" ht="15.75" customHeight="1" x14ac:dyDescent="0.3">
      <c r="A2" s="43" t="s">
        <v>101</v>
      </c>
      <c r="B2" s="43"/>
    </row>
    <row r="4" spans="1:2" ht="19.5" customHeight="1" x14ac:dyDescent="0.3">
      <c r="A4" s="45" t="s">
        <v>113</v>
      </c>
      <c r="B4" s="45"/>
    </row>
    <row r="5" spans="1:2" x14ac:dyDescent="0.3">
      <c r="A5" s="2" t="s">
        <v>103</v>
      </c>
      <c r="B5" s="2" t="s">
        <v>114</v>
      </c>
    </row>
    <row r="6" spans="1:2" x14ac:dyDescent="0.3">
      <c r="A6" s="7" t="s">
        <v>110</v>
      </c>
      <c r="B6" s="12">
        <v>1</v>
      </c>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
  <sheetViews>
    <sheetView showGridLines="0" zoomScaleNormal="100" workbookViewId="0">
      <selection activeCell="I1" sqref="I1"/>
    </sheetView>
  </sheetViews>
  <sheetFormatPr defaultColWidth="8.6640625" defaultRowHeight="14.4" x14ac:dyDescent="0.3"/>
  <cols>
    <col min="1" max="6" width="18" customWidth="1"/>
  </cols>
  <sheetData>
    <row r="1" spans="1:6" ht="60" customHeight="1" x14ac:dyDescent="0.3">
      <c r="A1" s="46" t="s">
        <v>18</v>
      </c>
      <c r="B1" s="46"/>
      <c r="C1" s="46"/>
      <c r="D1" s="46"/>
      <c r="E1" s="46"/>
      <c r="F1" s="46"/>
    </row>
    <row r="2" spans="1:6" x14ac:dyDescent="0.3">
      <c r="A2" s="46"/>
      <c r="B2" s="46"/>
      <c r="C2" s="46"/>
      <c r="D2" s="46"/>
      <c r="E2" s="46"/>
      <c r="F2" s="46"/>
    </row>
    <row r="3" spans="1:6" x14ac:dyDescent="0.3">
      <c r="A3" s="46"/>
      <c r="B3" s="46"/>
      <c r="C3" s="46"/>
      <c r="D3" s="46"/>
      <c r="E3" s="46"/>
      <c r="F3" s="46"/>
    </row>
  </sheetData>
  <mergeCells count="1">
    <mergeCell ref="A1:F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4"/>
  <sheetViews>
    <sheetView showGridLines="0" zoomScaleNormal="100" workbookViewId="0">
      <pane xSplit="1" ySplit="6" topLeftCell="B7" activePane="bottomRight" state="frozen"/>
      <selection pane="topRight" activeCell="B1" sqref="B1"/>
      <selection pane="bottomLeft" activeCell="A7" sqref="A7"/>
      <selection pane="bottomRight" sqref="A1:L1"/>
    </sheetView>
  </sheetViews>
  <sheetFormatPr defaultColWidth="8.6640625" defaultRowHeight="14.4" x14ac:dyDescent="0.3"/>
  <cols>
    <col min="1" max="1" width="32" customWidth="1"/>
    <col min="2" max="2" width="27" customWidth="1"/>
    <col min="3" max="3" width="18" customWidth="1"/>
    <col min="4" max="4" width="14" customWidth="1"/>
    <col min="5" max="5" width="20" customWidth="1"/>
    <col min="6" max="6" width="14" customWidth="1"/>
    <col min="7" max="7" width="20" customWidth="1"/>
    <col min="8" max="8" width="14" customWidth="1"/>
    <col min="9" max="9" width="21" customWidth="1"/>
    <col min="10" max="10" width="14" customWidth="1"/>
    <col min="11" max="11" width="21" customWidth="1"/>
    <col min="12" max="12" width="14" customWidth="1"/>
  </cols>
  <sheetData>
    <row r="1" spans="1:12" ht="25.5" customHeight="1" x14ac:dyDescent="0.3">
      <c r="A1" s="42" t="s">
        <v>115</v>
      </c>
      <c r="B1" s="42"/>
      <c r="C1" s="42"/>
      <c r="D1" s="42"/>
      <c r="E1" s="42"/>
      <c r="F1" s="42"/>
      <c r="G1" s="42"/>
      <c r="H1" s="42"/>
      <c r="I1" s="42"/>
      <c r="J1" s="42"/>
      <c r="K1" s="42"/>
      <c r="L1" s="42"/>
    </row>
    <row r="2" spans="1:12" ht="15.75" customHeight="1" x14ac:dyDescent="0.3">
      <c r="A2" s="43" t="s">
        <v>116</v>
      </c>
      <c r="B2" s="43"/>
      <c r="C2" s="43"/>
      <c r="D2" s="43"/>
      <c r="E2" s="43"/>
      <c r="F2" s="43"/>
      <c r="G2" s="43"/>
      <c r="H2" s="43"/>
      <c r="I2" s="43"/>
      <c r="J2" s="43"/>
      <c r="K2" s="43"/>
      <c r="L2" s="43"/>
    </row>
    <row r="4" spans="1:12" ht="30" customHeight="1" x14ac:dyDescent="0.3">
      <c r="A4" s="2" t="s">
        <v>103</v>
      </c>
      <c r="B4" s="44" t="s">
        <v>117</v>
      </c>
      <c r="C4" s="44"/>
      <c r="D4" s="44"/>
      <c r="E4" s="44"/>
      <c r="F4" s="44"/>
      <c r="G4" s="44"/>
      <c r="H4" s="44"/>
      <c r="I4" s="44"/>
      <c r="J4" s="44"/>
      <c r="K4" s="44"/>
      <c r="L4" s="44"/>
    </row>
    <row r="5" spans="1:12" ht="30" customHeight="1" x14ac:dyDescent="0.3">
      <c r="A5" s="2"/>
      <c r="B5" s="2" t="s">
        <v>118</v>
      </c>
      <c r="C5" s="44" t="s">
        <v>119</v>
      </c>
      <c r="D5" s="44"/>
      <c r="E5" s="44" t="s">
        <v>120</v>
      </c>
      <c r="F5" s="44"/>
      <c r="G5" s="44" t="s">
        <v>121</v>
      </c>
      <c r="H5" s="44"/>
      <c r="I5" s="44" t="s">
        <v>122</v>
      </c>
      <c r="J5" s="44"/>
      <c r="K5" s="44" t="s">
        <v>123</v>
      </c>
      <c r="L5" s="44"/>
    </row>
    <row r="6" spans="1:12" ht="30" customHeight="1" x14ac:dyDescent="0.3">
      <c r="A6" s="2"/>
      <c r="B6" s="2"/>
      <c r="C6" s="2" t="s">
        <v>124</v>
      </c>
      <c r="D6" s="2" t="s">
        <v>125</v>
      </c>
      <c r="E6" s="2" t="s">
        <v>126</v>
      </c>
      <c r="F6" s="2" t="s">
        <v>127</v>
      </c>
      <c r="G6" s="2" t="s">
        <v>128</v>
      </c>
      <c r="H6" s="2" t="s">
        <v>129</v>
      </c>
      <c r="I6" s="2" t="s">
        <v>130</v>
      </c>
      <c r="J6" s="2" t="s">
        <v>131</v>
      </c>
      <c r="K6" s="2" t="s">
        <v>132</v>
      </c>
      <c r="L6" s="2" t="s">
        <v>133</v>
      </c>
    </row>
    <row r="7" spans="1:12" x14ac:dyDescent="0.3">
      <c r="A7" s="13" t="s">
        <v>134</v>
      </c>
      <c r="B7" s="47"/>
      <c r="C7" s="47"/>
      <c r="D7" s="47"/>
      <c r="E7" s="47"/>
      <c r="F7" s="47"/>
      <c r="G7" s="47"/>
      <c r="H7" s="47"/>
      <c r="I7" s="47"/>
      <c r="J7" s="47"/>
      <c r="K7" s="47"/>
      <c r="L7" s="47"/>
    </row>
    <row r="8" spans="1:12" x14ac:dyDescent="0.3">
      <c r="A8" s="9" t="s">
        <v>135</v>
      </c>
      <c r="B8" s="10" t="s">
        <v>136</v>
      </c>
      <c r="C8" s="10" t="s">
        <v>136</v>
      </c>
      <c r="D8" s="10" t="s">
        <v>111</v>
      </c>
      <c r="E8" s="10" t="s">
        <v>136</v>
      </c>
      <c r="F8" s="10" t="s">
        <v>111</v>
      </c>
      <c r="G8" s="10" t="s">
        <v>97</v>
      </c>
      <c r="H8" s="10" t="s">
        <v>97</v>
      </c>
      <c r="I8" s="10" t="s">
        <v>136</v>
      </c>
      <c r="J8" s="10" t="s">
        <v>111</v>
      </c>
      <c r="K8" s="10" t="s">
        <v>91</v>
      </c>
      <c r="L8" s="10" t="s">
        <v>91</v>
      </c>
    </row>
    <row r="9" spans="1:12" x14ac:dyDescent="0.3">
      <c r="A9" s="7" t="s">
        <v>137</v>
      </c>
      <c r="B9" s="8" t="s">
        <v>138</v>
      </c>
      <c r="C9" s="8" t="s">
        <v>138</v>
      </c>
      <c r="D9" s="8" t="s">
        <v>111</v>
      </c>
      <c r="E9" s="8" t="s">
        <v>138</v>
      </c>
      <c r="F9" s="8" t="s">
        <v>111</v>
      </c>
      <c r="G9" s="8" t="s">
        <v>138</v>
      </c>
      <c r="H9" s="8" t="s">
        <v>111</v>
      </c>
      <c r="I9" s="8" t="s">
        <v>97</v>
      </c>
      <c r="J9" s="8" t="s">
        <v>97</v>
      </c>
      <c r="K9" s="8" t="s">
        <v>138</v>
      </c>
      <c r="L9" s="8" t="s">
        <v>111</v>
      </c>
    </row>
    <row r="10" spans="1:12" x14ac:dyDescent="0.3">
      <c r="A10" s="9" t="s">
        <v>139</v>
      </c>
      <c r="B10" s="10" t="s">
        <v>140</v>
      </c>
      <c r="C10" s="10" t="s">
        <v>140</v>
      </c>
      <c r="D10" s="10" t="s">
        <v>111</v>
      </c>
      <c r="E10" s="10" t="s">
        <v>140</v>
      </c>
      <c r="F10" s="10" t="s">
        <v>111</v>
      </c>
      <c r="G10" s="10" t="s">
        <v>138</v>
      </c>
      <c r="H10" s="10" t="s">
        <v>111</v>
      </c>
      <c r="I10" s="10" t="s">
        <v>136</v>
      </c>
      <c r="J10" s="10" t="s">
        <v>111</v>
      </c>
      <c r="K10" s="10" t="s">
        <v>138</v>
      </c>
      <c r="L10" s="10" t="s">
        <v>111</v>
      </c>
    </row>
    <row r="11" spans="1:12" x14ac:dyDescent="0.3">
      <c r="A11" s="13" t="s">
        <v>141</v>
      </c>
      <c r="B11" s="47"/>
      <c r="C11" s="47"/>
      <c r="D11" s="47"/>
      <c r="E11" s="47"/>
      <c r="F11" s="47"/>
      <c r="G11" s="47"/>
      <c r="H11" s="47"/>
      <c r="I11" s="47"/>
      <c r="J11" s="47"/>
      <c r="K11" s="47"/>
      <c r="L11" s="47"/>
    </row>
    <row r="12" spans="1:12" x14ac:dyDescent="0.3">
      <c r="A12" s="9" t="s">
        <v>135</v>
      </c>
      <c r="B12" s="10" t="s">
        <v>142</v>
      </c>
      <c r="C12" s="10" t="s">
        <v>143</v>
      </c>
      <c r="D12" s="10" t="s">
        <v>144</v>
      </c>
      <c r="E12" s="10" t="s">
        <v>145</v>
      </c>
      <c r="F12" s="10" t="s">
        <v>146</v>
      </c>
      <c r="G12" s="10" t="s">
        <v>97</v>
      </c>
      <c r="H12" s="10" t="s">
        <v>97</v>
      </c>
      <c r="I12" s="10" t="s">
        <v>97</v>
      </c>
      <c r="J12" s="10" t="s">
        <v>97</v>
      </c>
      <c r="K12" s="10" t="s">
        <v>91</v>
      </c>
      <c r="L12" s="10" t="s">
        <v>91</v>
      </c>
    </row>
    <row r="13" spans="1:12" x14ac:dyDescent="0.3">
      <c r="A13" s="7" t="s">
        <v>137</v>
      </c>
      <c r="B13" s="8" t="s">
        <v>147</v>
      </c>
      <c r="C13" s="8" t="s">
        <v>148</v>
      </c>
      <c r="D13" s="8" t="s">
        <v>149</v>
      </c>
      <c r="E13" s="8" t="s">
        <v>150</v>
      </c>
      <c r="F13" s="8" t="s">
        <v>151</v>
      </c>
      <c r="G13" s="8" t="s">
        <v>147</v>
      </c>
      <c r="H13" s="8" t="s">
        <v>111</v>
      </c>
      <c r="I13" s="8" t="s">
        <v>97</v>
      </c>
      <c r="J13" s="8" t="s">
        <v>97</v>
      </c>
      <c r="K13" s="8" t="s">
        <v>147</v>
      </c>
      <c r="L13" s="8" t="s">
        <v>111</v>
      </c>
    </row>
    <row r="14" spans="1:12" x14ac:dyDescent="0.3">
      <c r="A14" s="9" t="s">
        <v>139</v>
      </c>
      <c r="B14" s="10" t="s">
        <v>152</v>
      </c>
      <c r="C14" s="10" t="s">
        <v>153</v>
      </c>
      <c r="D14" s="10" t="s">
        <v>154</v>
      </c>
      <c r="E14" s="10" t="s">
        <v>155</v>
      </c>
      <c r="F14" s="10" t="s">
        <v>156</v>
      </c>
      <c r="G14" s="10" t="s">
        <v>147</v>
      </c>
      <c r="H14" s="10" t="s">
        <v>111</v>
      </c>
      <c r="I14" s="10" t="s">
        <v>97</v>
      </c>
      <c r="J14" s="10" t="s">
        <v>97</v>
      </c>
      <c r="K14" s="10" t="s">
        <v>147</v>
      </c>
      <c r="L14" s="10" t="s">
        <v>111</v>
      </c>
    </row>
  </sheetData>
  <mergeCells count="10">
    <mergeCell ref="B7:L7"/>
    <mergeCell ref="B11:L11"/>
    <mergeCell ref="A1:L1"/>
    <mergeCell ref="A2:L2"/>
    <mergeCell ref="B4:L4"/>
    <mergeCell ref="C5:D5"/>
    <mergeCell ref="E5:F5"/>
    <mergeCell ref="G5:H5"/>
    <mergeCell ref="I5:J5"/>
    <mergeCell ref="K5:L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1"/>
  <sheetViews>
    <sheetView showGridLines="0" topLeftCell="A22" zoomScaleNormal="100" workbookViewId="0">
      <selection activeCell="F23" sqref="F23"/>
    </sheetView>
  </sheetViews>
  <sheetFormatPr defaultColWidth="8.6640625" defaultRowHeight="14.4" x14ac:dyDescent="0.3"/>
  <cols>
    <col min="1" max="1" width="41" customWidth="1"/>
    <col min="2" max="2" width="77.77734375" customWidth="1"/>
    <col min="3" max="3" width="27.33203125" bestFit="1" customWidth="1"/>
    <col min="4" max="5" width="12.21875" bestFit="1" customWidth="1"/>
    <col min="6" max="6" width="37.109375" bestFit="1" customWidth="1"/>
    <col min="7" max="7" width="12.21875" bestFit="1" customWidth="1"/>
  </cols>
  <sheetData>
    <row r="1" spans="1:7" ht="25.5" customHeight="1" x14ac:dyDescent="0.3">
      <c r="A1" s="42" t="s">
        <v>157</v>
      </c>
      <c r="B1" s="42"/>
    </row>
    <row r="2" spans="1:7" ht="15.75" customHeight="1" x14ac:dyDescent="0.3">
      <c r="A2" s="43" t="s">
        <v>158</v>
      </c>
      <c r="B2" s="43"/>
    </row>
    <row r="4" spans="1:7" ht="19.5" customHeight="1" x14ac:dyDescent="0.3">
      <c r="A4" s="45" t="s">
        <v>159</v>
      </c>
      <c r="B4" s="45"/>
    </row>
    <row r="5" spans="1:7" x14ac:dyDescent="0.3">
      <c r="A5" s="2" t="s">
        <v>103</v>
      </c>
      <c r="B5" s="2" t="s">
        <v>114</v>
      </c>
      <c r="D5" s="18" t="s">
        <v>769</v>
      </c>
      <c r="E5" t="s">
        <v>771</v>
      </c>
      <c r="F5" s="18" t="s">
        <v>769</v>
      </c>
      <c r="G5" t="s">
        <v>771</v>
      </c>
    </row>
    <row r="6" spans="1:7" x14ac:dyDescent="0.3">
      <c r="A6" s="7" t="s">
        <v>160</v>
      </c>
      <c r="B6" s="11">
        <v>9362</v>
      </c>
      <c r="D6" s="19" t="s">
        <v>161</v>
      </c>
      <c r="E6" s="20">
        <v>2080</v>
      </c>
      <c r="F6" s="19" t="s">
        <v>164</v>
      </c>
      <c r="G6" s="20">
        <v>196</v>
      </c>
    </row>
    <row r="7" spans="1:7" x14ac:dyDescent="0.3">
      <c r="A7" s="9" t="s">
        <v>161</v>
      </c>
      <c r="B7" s="14">
        <v>2080</v>
      </c>
      <c r="D7" s="19" t="s">
        <v>160</v>
      </c>
      <c r="E7" s="20">
        <v>9362</v>
      </c>
      <c r="F7" s="19" t="s">
        <v>163</v>
      </c>
      <c r="G7" s="20">
        <v>440</v>
      </c>
    </row>
    <row r="8" spans="1:7" x14ac:dyDescent="0.3">
      <c r="A8" s="7" t="s">
        <v>162</v>
      </c>
      <c r="B8" s="11">
        <v>11442</v>
      </c>
      <c r="D8" s="19" t="s">
        <v>770</v>
      </c>
      <c r="E8" s="20">
        <v>11442</v>
      </c>
      <c r="F8" s="19" t="s">
        <v>770</v>
      </c>
      <c r="G8" s="20">
        <v>636</v>
      </c>
    </row>
    <row r="9" spans="1:7" x14ac:dyDescent="0.3">
      <c r="A9" s="9" t="s">
        <v>163</v>
      </c>
      <c r="B9" s="14">
        <v>440</v>
      </c>
    </row>
    <row r="10" spans="1:7" x14ac:dyDescent="0.3">
      <c r="A10" s="7" t="s">
        <v>164</v>
      </c>
      <c r="B10" s="11">
        <v>196</v>
      </c>
    </row>
    <row r="11" spans="1:7" x14ac:dyDescent="0.3">
      <c r="A11" s="9" t="s">
        <v>165</v>
      </c>
      <c r="B11" s="14">
        <v>636</v>
      </c>
    </row>
    <row r="13" spans="1:7" ht="19.5" customHeight="1" x14ac:dyDescent="0.3">
      <c r="A13" s="45" t="s">
        <v>166</v>
      </c>
      <c r="B13" s="45"/>
    </row>
    <row r="14" spans="1:7" x14ac:dyDescent="0.3">
      <c r="A14" s="2" t="s">
        <v>103</v>
      </c>
      <c r="B14" s="2" t="s">
        <v>114</v>
      </c>
    </row>
    <row r="15" spans="1:7" x14ac:dyDescent="0.3">
      <c r="A15" s="7" t="s">
        <v>160</v>
      </c>
      <c r="B15" s="11">
        <v>9362</v>
      </c>
    </row>
    <row r="16" spans="1:7" x14ac:dyDescent="0.3">
      <c r="A16" s="9" t="s">
        <v>161</v>
      </c>
      <c r="B16" s="14">
        <v>2080</v>
      </c>
    </row>
    <row r="17" spans="1:7" x14ac:dyDescent="0.3">
      <c r="A17" s="7" t="s">
        <v>162</v>
      </c>
      <c r="B17" s="11">
        <v>11442</v>
      </c>
    </row>
    <row r="18" spans="1:7" x14ac:dyDescent="0.3">
      <c r="A18" s="9" t="s">
        <v>163</v>
      </c>
      <c r="B18" s="14">
        <v>296</v>
      </c>
    </row>
    <row r="19" spans="1:7" x14ac:dyDescent="0.3">
      <c r="A19" s="7" t="s">
        <v>164</v>
      </c>
      <c r="B19" s="11">
        <v>113</v>
      </c>
    </row>
    <row r="20" spans="1:7" x14ac:dyDescent="0.3">
      <c r="A20" s="9" t="s">
        <v>165</v>
      </c>
      <c r="B20" s="14">
        <v>409</v>
      </c>
    </row>
    <row r="22" spans="1:7" ht="19.5" customHeight="1" x14ac:dyDescent="0.3">
      <c r="A22" s="45" t="s">
        <v>167</v>
      </c>
      <c r="B22" s="45"/>
    </row>
    <row r="23" spans="1:7" x14ac:dyDescent="0.3">
      <c r="A23" s="2" t="s">
        <v>103</v>
      </c>
      <c r="B23" s="2" t="s">
        <v>114</v>
      </c>
      <c r="C23" s="18" t="s">
        <v>769</v>
      </c>
      <c r="D23" t="s">
        <v>771</v>
      </c>
      <c r="F23" s="18" t="s">
        <v>769</v>
      </c>
      <c r="G23" t="s">
        <v>771</v>
      </c>
    </row>
    <row r="24" spans="1:7" x14ac:dyDescent="0.3">
      <c r="A24" s="7" t="s">
        <v>160</v>
      </c>
      <c r="B24" s="12">
        <v>1</v>
      </c>
      <c r="C24" s="19" t="s">
        <v>161</v>
      </c>
      <c r="D24" s="21">
        <v>1</v>
      </c>
      <c r="F24" s="19" t="s">
        <v>164</v>
      </c>
      <c r="G24" s="21">
        <v>0.57999999999999996</v>
      </c>
    </row>
    <row r="25" spans="1:7" x14ac:dyDescent="0.3">
      <c r="A25" s="9" t="s">
        <v>161</v>
      </c>
      <c r="B25" s="15">
        <v>1</v>
      </c>
      <c r="C25" s="19" t="s">
        <v>160</v>
      </c>
      <c r="D25" s="21">
        <v>1</v>
      </c>
      <c r="F25" s="19" t="s">
        <v>163</v>
      </c>
      <c r="G25" s="21">
        <v>0.67</v>
      </c>
    </row>
    <row r="26" spans="1:7" x14ac:dyDescent="0.3">
      <c r="A26" s="7" t="s">
        <v>162</v>
      </c>
      <c r="B26" s="12">
        <v>1</v>
      </c>
      <c r="C26" s="19" t="s">
        <v>770</v>
      </c>
      <c r="D26" s="21">
        <v>2</v>
      </c>
      <c r="F26" s="19" t="s">
        <v>770</v>
      </c>
      <c r="G26" s="21">
        <v>1.25</v>
      </c>
    </row>
    <row r="27" spans="1:7" x14ac:dyDescent="0.3">
      <c r="A27" s="9" t="s">
        <v>163</v>
      </c>
      <c r="B27" s="15">
        <v>0.67</v>
      </c>
    </row>
    <row r="28" spans="1:7" x14ac:dyDescent="0.3">
      <c r="A28" s="7" t="s">
        <v>164</v>
      </c>
      <c r="B28" s="12">
        <v>0.57999999999999996</v>
      </c>
    </row>
    <row r="29" spans="1:7" x14ac:dyDescent="0.3">
      <c r="A29" s="9" t="s">
        <v>165</v>
      </c>
      <c r="B29" s="15">
        <v>0.64</v>
      </c>
    </row>
    <row r="31" spans="1:7" ht="19.5" customHeight="1" x14ac:dyDescent="0.3">
      <c r="A31" s="45" t="s">
        <v>168</v>
      </c>
      <c r="B31" s="45"/>
    </row>
    <row r="32" spans="1:7" x14ac:dyDescent="0.3">
      <c r="A32" s="2" t="s">
        <v>103</v>
      </c>
      <c r="B32" s="2" t="s">
        <v>114</v>
      </c>
    </row>
    <row r="33" spans="1:2" x14ac:dyDescent="0.3">
      <c r="A33" s="7" t="s">
        <v>160</v>
      </c>
      <c r="B33" s="11">
        <v>9362</v>
      </c>
    </row>
    <row r="34" spans="1:2" x14ac:dyDescent="0.3">
      <c r="A34" s="9" t="s">
        <v>161</v>
      </c>
      <c r="B34" s="14">
        <v>2080</v>
      </c>
    </row>
    <row r="35" spans="1:2" x14ac:dyDescent="0.3">
      <c r="A35" s="7" t="s">
        <v>162</v>
      </c>
      <c r="B35" s="11">
        <v>11442</v>
      </c>
    </row>
    <row r="36" spans="1:2" x14ac:dyDescent="0.3">
      <c r="A36" s="9" t="s">
        <v>163</v>
      </c>
      <c r="B36" s="14">
        <v>292</v>
      </c>
    </row>
    <row r="37" spans="1:2" x14ac:dyDescent="0.3">
      <c r="A37" s="7" t="s">
        <v>164</v>
      </c>
      <c r="B37" s="11">
        <v>99</v>
      </c>
    </row>
    <row r="38" spans="1:2" x14ac:dyDescent="0.3">
      <c r="A38" s="9" t="s">
        <v>165</v>
      </c>
      <c r="B38" s="14">
        <v>391</v>
      </c>
    </row>
    <row r="40" spans="1:2" ht="19.5" customHeight="1" x14ac:dyDescent="0.3">
      <c r="A40" s="45" t="s">
        <v>169</v>
      </c>
      <c r="B40" s="45"/>
    </row>
    <row r="41" spans="1:2" x14ac:dyDescent="0.3">
      <c r="A41" s="2" t="s">
        <v>103</v>
      </c>
      <c r="B41" s="2" t="s">
        <v>114</v>
      </c>
    </row>
    <row r="42" spans="1:2" x14ac:dyDescent="0.3">
      <c r="A42" s="7" t="s">
        <v>160</v>
      </c>
      <c r="B42" s="12">
        <v>1</v>
      </c>
    </row>
    <row r="43" spans="1:2" x14ac:dyDescent="0.3">
      <c r="A43" s="9" t="s">
        <v>161</v>
      </c>
      <c r="B43" s="15">
        <v>1</v>
      </c>
    </row>
    <row r="44" spans="1:2" x14ac:dyDescent="0.3">
      <c r="A44" s="7" t="s">
        <v>162</v>
      </c>
      <c r="B44" s="12">
        <v>1</v>
      </c>
    </row>
    <row r="45" spans="1:2" x14ac:dyDescent="0.3">
      <c r="A45" s="9" t="s">
        <v>163</v>
      </c>
      <c r="B45" s="15">
        <v>0.66</v>
      </c>
    </row>
    <row r="46" spans="1:2" x14ac:dyDescent="0.3">
      <c r="A46" s="7" t="s">
        <v>164</v>
      </c>
      <c r="B46" s="12">
        <v>0.51</v>
      </c>
    </row>
    <row r="47" spans="1:2" x14ac:dyDescent="0.3">
      <c r="A47" s="9" t="s">
        <v>165</v>
      </c>
      <c r="B47" s="15">
        <v>0.61</v>
      </c>
    </row>
    <row r="49" spans="1:2" ht="19.5" customHeight="1" x14ac:dyDescent="0.3">
      <c r="A49" s="45" t="s">
        <v>170</v>
      </c>
      <c r="B49" s="45"/>
    </row>
    <row r="50" spans="1:2" x14ac:dyDescent="0.3">
      <c r="A50" s="2" t="s">
        <v>103</v>
      </c>
      <c r="B50" s="2" t="s">
        <v>114</v>
      </c>
    </row>
    <row r="51" spans="1:2" x14ac:dyDescent="0.3">
      <c r="A51" s="7" t="s">
        <v>160</v>
      </c>
      <c r="B51" s="8"/>
    </row>
    <row r="52" spans="1:2" x14ac:dyDescent="0.3">
      <c r="A52" s="9" t="s">
        <v>161</v>
      </c>
      <c r="B52" s="14">
        <v>2080</v>
      </c>
    </row>
    <row r="53" spans="1:2" x14ac:dyDescent="0.3">
      <c r="A53" s="7" t="s">
        <v>162</v>
      </c>
      <c r="B53" s="11">
        <v>2080</v>
      </c>
    </row>
    <row r="54" spans="1:2" x14ac:dyDescent="0.3">
      <c r="A54" s="9" t="s">
        <v>163</v>
      </c>
      <c r="B54" s="10"/>
    </row>
    <row r="55" spans="1:2" x14ac:dyDescent="0.3">
      <c r="A55" s="7" t="s">
        <v>164</v>
      </c>
      <c r="B55" s="11">
        <v>196</v>
      </c>
    </row>
    <row r="56" spans="1:2" x14ac:dyDescent="0.3">
      <c r="A56" s="9" t="s">
        <v>165</v>
      </c>
      <c r="B56" s="14">
        <v>196</v>
      </c>
    </row>
    <row r="58" spans="1:2" ht="19.5" customHeight="1" x14ac:dyDescent="0.3">
      <c r="A58" s="45" t="s">
        <v>171</v>
      </c>
      <c r="B58" s="45"/>
    </row>
    <row r="59" spans="1:2" x14ac:dyDescent="0.3">
      <c r="A59" s="2" t="s">
        <v>103</v>
      </c>
      <c r="B59" s="2" t="s">
        <v>114</v>
      </c>
    </row>
    <row r="60" spans="1:2" x14ac:dyDescent="0.3">
      <c r="A60" s="7" t="s">
        <v>160</v>
      </c>
      <c r="B60" s="8"/>
    </row>
    <row r="61" spans="1:2" x14ac:dyDescent="0.3">
      <c r="A61" s="9" t="s">
        <v>161</v>
      </c>
      <c r="B61" s="15">
        <v>1</v>
      </c>
    </row>
    <row r="62" spans="1:2" x14ac:dyDescent="0.3">
      <c r="A62" s="7" t="s">
        <v>162</v>
      </c>
      <c r="B62" s="12">
        <v>1</v>
      </c>
    </row>
    <row r="63" spans="1:2" x14ac:dyDescent="0.3">
      <c r="A63" s="9" t="s">
        <v>163</v>
      </c>
      <c r="B63" s="10"/>
    </row>
    <row r="64" spans="1:2" x14ac:dyDescent="0.3">
      <c r="A64" s="7" t="s">
        <v>164</v>
      </c>
      <c r="B64" s="12">
        <v>1</v>
      </c>
    </row>
    <row r="65" spans="1:2" x14ac:dyDescent="0.3">
      <c r="A65" s="9" t="s">
        <v>165</v>
      </c>
      <c r="B65" s="15">
        <v>1</v>
      </c>
    </row>
    <row r="67" spans="1:2" ht="19.5" customHeight="1" x14ac:dyDescent="0.3">
      <c r="A67" s="45" t="s">
        <v>172</v>
      </c>
      <c r="B67" s="45"/>
    </row>
    <row r="68" spans="1:2" x14ac:dyDescent="0.3">
      <c r="A68" s="2" t="s">
        <v>103</v>
      </c>
      <c r="B68" s="2" t="s">
        <v>114</v>
      </c>
    </row>
    <row r="69" spans="1:2" x14ac:dyDescent="0.3">
      <c r="A69" s="7" t="s">
        <v>160</v>
      </c>
      <c r="B69" s="11">
        <v>9362</v>
      </c>
    </row>
    <row r="70" spans="1:2" x14ac:dyDescent="0.3">
      <c r="A70" s="9" t="s">
        <v>161</v>
      </c>
      <c r="B70" s="10"/>
    </row>
    <row r="71" spans="1:2" x14ac:dyDescent="0.3">
      <c r="A71" s="7" t="s">
        <v>162</v>
      </c>
      <c r="B71" s="11">
        <v>9362</v>
      </c>
    </row>
    <row r="72" spans="1:2" x14ac:dyDescent="0.3">
      <c r="A72" s="9" t="s">
        <v>163</v>
      </c>
      <c r="B72" s="10"/>
    </row>
    <row r="73" spans="1:2" x14ac:dyDescent="0.3">
      <c r="A73" s="7" t="s">
        <v>164</v>
      </c>
      <c r="B73" s="8"/>
    </row>
    <row r="74" spans="1:2" x14ac:dyDescent="0.3">
      <c r="A74" s="9" t="s">
        <v>165</v>
      </c>
      <c r="B74" s="10"/>
    </row>
    <row r="76" spans="1:2" ht="19.5" customHeight="1" x14ac:dyDescent="0.3">
      <c r="A76" s="45" t="s">
        <v>173</v>
      </c>
      <c r="B76" s="45"/>
    </row>
    <row r="77" spans="1:2" x14ac:dyDescent="0.3">
      <c r="A77" s="2" t="s">
        <v>103</v>
      </c>
      <c r="B77" s="2" t="s">
        <v>114</v>
      </c>
    </row>
    <row r="78" spans="1:2" x14ac:dyDescent="0.3">
      <c r="A78" s="7" t="s">
        <v>160</v>
      </c>
      <c r="B78" s="12">
        <v>1</v>
      </c>
    </row>
    <row r="79" spans="1:2" x14ac:dyDescent="0.3">
      <c r="A79" s="9" t="s">
        <v>161</v>
      </c>
      <c r="B79" s="10"/>
    </row>
    <row r="80" spans="1:2" x14ac:dyDescent="0.3">
      <c r="A80" s="7" t="s">
        <v>162</v>
      </c>
      <c r="B80" s="12">
        <v>1</v>
      </c>
    </row>
    <row r="81" spans="1:2" x14ac:dyDescent="0.3">
      <c r="A81" s="9" t="s">
        <v>163</v>
      </c>
      <c r="B81" s="10"/>
    </row>
    <row r="82" spans="1:2" x14ac:dyDescent="0.3">
      <c r="A82" s="7" t="s">
        <v>164</v>
      </c>
      <c r="B82" s="8"/>
    </row>
    <row r="83" spans="1:2" x14ac:dyDescent="0.3">
      <c r="A83" s="9" t="s">
        <v>165</v>
      </c>
      <c r="B83" s="10"/>
    </row>
    <row r="85" spans="1:2" ht="19.5" customHeight="1" x14ac:dyDescent="0.3">
      <c r="A85" s="45" t="s">
        <v>174</v>
      </c>
      <c r="B85" s="45"/>
    </row>
    <row r="86" spans="1:2" x14ac:dyDescent="0.3">
      <c r="A86" s="2" t="s">
        <v>103</v>
      </c>
      <c r="B86" s="2" t="s">
        <v>114</v>
      </c>
    </row>
    <row r="87" spans="1:2" x14ac:dyDescent="0.3">
      <c r="A87" s="7" t="s">
        <v>160</v>
      </c>
      <c r="B87" s="8"/>
    </row>
    <row r="88" spans="1:2" x14ac:dyDescent="0.3">
      <c r="A88" s="9" t="s">
        <v>161</v>
      </c>
      <c r="B88" s="14">
        <v>2080</v>
      </c>
    </row>
    <row r="89" spans="1:2" x14ac:dyDescent="0.3">
      <c r="A89" s="7" t="s">
        <v>162</v>
      </c>
      <c r="B89" s="11">
        <v>2080</v>
      </c>
    </row>
    <row r="90" spans="1:2" x14ac:dyDescent="0.3">
      <c r="A90" s="9" t="s">
        <v>163</v>
      </c>
      <c r="B90" s="10"/>
    </row>
    <row r="91" spans="1:2" x14ac:dyDescent="0.3">
      <c r="A91" s="7" t="s">
        <v>164</v>
      </c>
      <c r="B91" s="11">
        <v>196</v>
      </c>
    </row>
    <row r="92" spans="1:2" x14ac:dyDescent="0.3">
      <c r="A92" s="9" t="s">
        <v>165</v>
      </c>
      <c r="B92" s="14">
        <v>196</v>
      </c>
    </row>
    <row r="94" spans="1:2" ht="19.5" customHeight="1" x14ac:dyDescent="0.3">
      <c r="A94" s="45" t="s">
        <v>175</v>
      </c>
      <c r="B94" s="45"/>
    </row>
    <row r="95" spans="1:2" x14ac:dyDescent="0.3">
      <c r="A95" s="2" t="s">
        <v>103</v>
      </c>
      <c r="B95" s="2" t="s">
        <v>114</v>
      </c>
    </row>
    <row r="96" spans="1:2" x14ac:dyDescent="0.3">
      <c r="A96" s="7" t="s">
        <v>160</v>
      </c>
      <c r="B96" s="8"/>
    </row>
    <row r="97" spans="1:2" x14ac:dyDescent="0.3">
      <c r="A97" s="9" t="s">
        <v>161</v>
      </c>
      <c r="B97" s="15">
        <v>1</v>
      </c>
    </row>
    <row r="98" spans="1:2" x14ac:dyDescent="0.3">
      <c r="A98" s="7" t="s">
        <v>162</v>
      </c>
      <c r="B98" s="12">
        <v>1</v>
      </c>
    </row>
    <row r="99" spans="1:2" x14ac:dyDescent="0.3">
      <c r="A99" s="9" t="s">
        <v>163</v>
      </c>
      <c r="B99" s="10"/>
    </row>
    <row r="100" spans="1:2" x14ac:dyDescent="0.3">
      <c r="A100" s="7" t="s">
        <v>164</v>
      </c>
      <c r="B100" s="12">
        <v>1</v>
      </c>
    </row>
    <row r="101" spans="1:2" x14ac:dyDescent="0.3">
      <c r="A101" s="9" t="s">
        <v>165</v>
      </c>
      <c r="B101" s="15">
        <v>1</v>
      </c>
    </row>
  </sheetData>
  <mergeCells count="13">
    <mergeCell ref="A76:B76"/>
    <mergeCell ref="A85:B85"/>
    <mergeCell ref="A94:B94"/>
    <mergeCell ref="A31:B31"/>
    <mergeCell ref="A40:B40"/>
    <mergeCell ref="A49:B49"/>
    <mergeCell ref="A58:B58"/>
    <mergeCell ref="A67:B67"/>
    <mergeCell ref="A1:B1"/>
    <mergeCell ref="A2:B2"/>
    <mergeCell ref="A4:B4"/>
    <mergeCell ref="A13:B13"/>
    <mergeCell ref="A22:B22"/>
  </mergeCells>
  <pageMargins left="0.75" right="0.75" top="1" bottom="1" header="0.511811023622047" footer="0.511811023622047"/>
  <pageSetup paperSize="9" orientation="portrait" horizontalDpi="300" verticalDpi="300"/>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4"/>
  <sheetViews>
    <sheetView showGridLines="0" zoomScaleNormal="100" workbookViewId="0">
      <pane xSplit="1" ySplit="6" topLeftCell="B7" activePane="bottomRight" state="frozen"/>
      <selection pane="topRight" activeCell="B1" sqref="B1"/>
      <selection pane="bottomLeft" activeCell="A7" sqref="A7"/>
      <selection pane="bottomRight" sqref="A1:L1"/>
    </sheetView>
  </sheetViews>
  <sheetFormatPr defaultColWidth="8.6640625" defaultRowHeight="14.4" x14ac:dyDescent="0.3"/>
  <cols>
    <col min="1" max="1" width="30" customWidth="1"/>
    <col min="2" max="2" width="25" customWidth="1"/>
    <col min="3" max="3" width="18" customWidth="1"/>
    <col min="4" max="4" width="14" customWidth="1"/>
    <col min="5" max="5" width="20" customWidth="1"/>
    <col min="6" max="6" width="14" customWidth="1"/>
    <col min="7" max="7" width="20" customWidth="1"/>
    <col min="8" max="8" width="14" customWidth="1"/>
    <col min="9" max="9" width="20" customWidth="1"/>
    <col min="10" max="10" width="14" customWidth="1"/>
    <col min="11" max="11" width="21" customWidth="1"/>
    <col min="12" max="12" width="14" customWidth="1"/>
  </cols>
  <sheetData>
    <row r="1" spans="1:12" ht="25.5" customHeight="1" x14ac:dyDescent="0.3">
      <c r="A1" s="42" t="s">
        <v>176</v>
      </c>
      <c r="B1" s="42"/>
      <c r="C1" s="42"/>
      <c r="D1" s="42"/>
      <c r="E1" s="42"/>
      <c r="F1" s="42"/>
      <c r="G1" s="42"/>
      <c r="H1" s="42"/>
      <c r="I1" s="42"/>
      <c r="J1" s="42"/>
      <c r="K1" s="42"/>
      <c r="L1" s="42"/>
    </row>
    <row r="2" spans="1:12" ht="15.75" customHeight="1" x14ac:dyDescent="0.3">
      <c r="A2" s="43" t="s">
        <v>177</v>
      </c>
      <c r="B2" s="43"/>
      <c r="C2" s="43"/>
      <c r="D2" s="43"/>
      <c r="E2" s="43"/>
      <c r="F2" s="43"/>
      <c r="G2" s="43"/>
      <c r="H2" s="43"/>
      <c r="I2" s="43"/>
      <c r="J2" s="43"/>
      <c r="K2" s="43"/>
      <c r="L2" s="43"/>
    </row>
    <row r="4" spans="1:12" ht="30" customHeight="1" x14ac:dyDescent="0.3">
      <c r="A4" s="2" t="s">
        <v>103</v>
      </c>
      <c r="B4" s="44" t="s">
        <v>178</v>
      </c>
      <c r="C4" s="44"/>
      <c r="D4" s="44"/>
      <c r="E4" s="44"/>
      <c r="F4" s="44"/>
      <c r="G4" s="44"/>
      <c r="H4" s="44"/>
      <c r="I4" s="44"/>
      <c r="J4" s="44"/>
      <c r="K4" s="44"/>
      <c r="L4" s="44"/>
    </row>
    <row r="5" spans="1:12" ht="30" customHeight="1" x14ac:dyDescent="0.3">
      <c r="A5" s="2"/>
      <c r="B5" s="2" t="s">
        <v>118</v>
      </c>
      <c r="C5" s="44" t="s">
        <v>119</v>
      </c>
      <c r="D5" s="44"/>
      <c r="E5" s="44" t="s">
        <v>120</v>
      </c>
      <c r="F5" s="44"/>
      <c r="G5" s="44" t="s">
        <v>121</v>
      </c>
      <c r="H5" s="44"/>
      <c r="I5" s="44" t="s">
        <v>179</v>
      </c>
      <c r="J5" s="44"/>
      <c r="K5" s="44" t="s">
        <v>123</v>
      </c>
      <c r="L5" s="44"/>
    </row>
    <row r="6" spans="1:12" ht="30" customHeight="1" x14ac:dyDescent="0.3">
      <c r="A6" s="2"/>
      <c r="B6" s="2"/>
      <c r="C6" s="2" t="s">
        <v>124</v>
      </c>
      <c r="D6" s="2" t="s">
        <v>125</v>
      </c>
      <c r="E6" s="2" t="s">
        <v>126</v>
      </c>
      <c r="F6" s="2" t="s">
        <v>127</v>
      </c>
      <c r="G6" s="2" t="s">
        <v>128</v>
      </c>
      <c r="H6" s="2" t="s">
        <v>129</v>
      </c>
      <c r="I6" s="2" t="s">
        <v>130</v>
      </c>
      <c r="J6" s="2" t="s">
        <v>131</v>
      </c>
      <c r="K6" s="2" t="s">
        <v>132</v>
      </c>
      <c r="L6" s="2" t="s">
        <v>133</v>
      </c>
    </row>
    <row r="7" spans="1:12" x14ac:dyDescent="0.3">
      <c r="A7" s="13" t="s">
        <v>180</v>
      </c>
      <c r="B7" s="47"/>
      <c r="C7" s="47"/>
      <c r="D7" s="47"/>
      <c r="E7" s="47"/>
      <c r="F7" s="47"/>
      <c r="G7" s="47"/>
      <c r="H7" s="47"/>
      <c r="I7" s="47"/>
      <c r="J7" s="47"/>
      <c r="K7" s="47"/>
      <c r="L7" s="47"/>
    </row>
    <row r="8" spans="1:12" x14ac:dyDescent="0.3">
      <c r="A8" s="9" t="s">
        <v>135</v>
      </c>
      <c r="B8" s="10" t="s">
        <v>181</v>
      </c>
      <c r="C8" s="10" t="s">
        <v>181</v>
      </c>
      <c r="D8" s="10" t="s">
        <v>111</v>
      </c>
      <c r="E8" s="10" t="s">
        <v>181</v>
      </c>
      <c r="F8" s="10" t="s">
        <v>111</v>
      </c>
      <c r="G8" s="10" t="s">
        <v>97</v>
      </c>
      <c r="H8" s="10" t="s">
        <v>97</v>
      </c>
      <c r="I8" s="10" t="s">
        <v>97</v>
      </c>
      <c r="J8" s="10" t="s">
        <v>97</v>
      </c>
      <c r="K8" s="10" t="s">
        <v>91</v>
      </c>
      <c r="L8" s="10" t="s">
        <v>91</v>
      </c>
    </row>
    <row r="9" spans="1:12" x14ac:dyDescent="0.3">
      <c r="A9" s="7" t="s">
        <v>137</v>
      </c>
      <c r="B9" s="8" t="s">
        <v>182</v>
      </c>
      <c r="C9" s="8" t="s">
        <v>182</v>
      </c>
      <c r="D9" s="8" t="s">
        <v>111</v>
      </c>
      <c r="E9" s="8" t="s">
        <v>182</v>
      </c>
      <c r="F9" s="8" t="s">
        <v>111</v>
      </c>
      <c r="G9" s="8" t="s">
        <v>182</v>
      </c>
      <c r="H9" s="8" t="s">
        <v>111</v>
      </c>
      <c r="I9" s="8" t="s">
        <v>97</v>
      </c>
      <c r="J9" s="8" t="s">
        <v>97</v>
      </c>
      <c r="K9" s="8" t="s">
        <v>182</v>
      </c>
      <c r="L9" s="8" t="s">
        <v>111</v>
      </c>
    </row>
    <row r="10" spans="1:12" x14ac:dyDescent="0.3">
      <c r="A10" s="9" t="s">
        <v>139</v>
      </c>
      <c r="B10" s="10" t="s">
        <v>183</v>
      </c>
      <c r="C10" s="10" t="s">
        <v>183</v>
      </c>
      <c r="D10" s="10" t="s">
        <v>111</v>
      </c>
      <c r="E10" s="10" t="s">
        <v>183</v>
      </c>
      <c r="F10" s="10" t="s">
        <v>111</v>
      </c>
      <c r="G10" s="10" t="s">
        <v>182</v>
      </c>
      <c r="H10" s="10" t="s">
        <v>111</v>
      </c>
      <c r="I10" s="10" t="s">
        <v>97</v>
      </c>
      <c r="J10" s="10" t="s">
        <v>97</v>
      </c>
      <c r="K10" s="10" t="s">
        <v>182</v>
      </c>
      <c r="L10" s="10" t="s">
        <v>111</v>
      </c>
    </row>
    <row r="11" spans="1:12" x14ac:dyDescent="0.3">
      <c r="A11" s="13" t="s">
        <v>184</v>
      </c>
      <c r="B11" s="47"/>
      <c r="C11" s="47"/>
      <c r="D11" s="47"/>
      <c r="E11" s="47"/>
      <c r="F11" s="47"/>
      <c r="G11" s="47"/>
      <c r="H11" s="47"/>
      <c r="I11" s="47"/>
      <c r="J11" s="47"/>
      <c r="K11" s="47"/>
      <c r="L11" s="47"/>
    </row>
    <row r="12" spans="1:12" x14ac:dyDescent="0.3">
      <c r="A12" s="9" t="s">
        <v>135</v>
      </c>
      <c r="B12" s="10" t="s">
        <v>185</v>
      </c>
      <c r="C12" s="10" t="s">
        <v>185</v>
      </c>
      <c r="D12" s="10" t="s">
        <v>111</v>
      </c>
      <c r="E12" s="10" t="s">
        <v>185</v>
      </c>
      <c r="F12" s="10" t="s">
        <v>111</v>
      </c>
      <c r="G12" s="10" t="s">
        <v>97</v>
      </c>
      <c r="H12" s="10" t="s">
        <v>97</v>
      </c>
      <c r="I12" s="10" t="s">
        <v>97</v>
      </c>
      <c r="J12" s="10" t="s">
        <v>97</v>
      </c>
      <c r="K12" s="10" t="s">
        <v>91</v>
      </c>
      <c r="L12" s="10" t="s">
        <v>91</v>
      </c>
    </row>
    <row r="13" spans="1:12" x14ac:dyDescent="0.3">
      <c r="A13" s="7" t="s">
        <v>137</v>
      </c>
      <c r="B13" s="8" t="s">
        <v>186</v>
      </c>
      <c r="C13" s="8" t="s">
        <v>186</v>
      </c>
      <c r="D13" s="8" t="s">
        <v>111</v>
      </c>
      <c r="E13" s="8" t="s">
        <v>186</v>
      </c>
      <c r="F13" s="8" t="s">
        <v>111</v>
      </c>
      <c r="G13" s="8" t="s">
        <v>186</v>
      </c>
      <c r="H13" s="8" t="s">
        <v>111</v>
      </c>
      <c r="I13" s="8" t="s">
        <v>97</v>
      </c>
      <c r="J13" s="8" t="s">
        <v>97</v>
      </c>
      <c r="K13" s="8" t="s">
        <v>186</v>
      </c>
      <c r="L13" s="8" t="s">
        <v>111</v>
      </c>
    </row>
    <row r="14" spans="1:12" x14ac:dyDescent="0.3">
      <c r="A14" s="9" t="s">
        <v>139</v>
      </c>
      <c r="B14" s="10" t="s">
        <v>187</v>
      </c>
      <c r="C14" s="10" t="s">
        <v>187</v>
      </c>
      <c r="D14" s="10" t="s">
        <v>111</v>
      </c>
      <c r="E14" s="10" t="s">
        <v>187</v>
      </c>
      <c r="F14" s="10" t="s">
        <v>111</v>
      </c>
      <c r="G14" s="10" t="s">
        <v>186</v>
      </c>
      <c r="H14" s="10" t="s">
        <v>111</v>
      </c>
      <c r="I14" s="10" t="s">
        <v>97</v>
      </c>
      <c r="J14" s="10" t="s">
        <v>97</v>
      </c>
      <c r="K14" s="10" t="s">
        <v>186</v>
      </c>
      <c r="L14" s="10" t="s">
        <v>111</v>
      </c>
    </row>
  </sheetData>
  <mergeCells count="10">
    <mergeCell ref="B7:L7"/>
    <mergeCell ref="B11:L11"/>
    <mergeCell ref="A1:L1"/>
    <mergeCell ref="A2:L2"/>
    <mergeCell ref="B4:L4"/>
    <mergeCell ref="C5:D5"/>
    <mergeCell ref="E5:F5"/>
    <mergeCell ref="G5:H5"/>
    <mergeCell ref="I5:J5"/>
    <mergeCell ref="K5:L5"/>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83"/>
  <sheetViews>
    <sheetView showGridLines="0" zoomScaleNormal="100" workbookViewId="0">
      <selection activeCell="E5" sqref="E5:F8"/>
    </sheetView>
  </sheetViews>
  <sheetFormatPr defaultColWidth="8.6640625" defaultRowHeight="14.4" x14ac:dyDescent="0.3"/>
  <cols>
    <col min="1" max="1" width="39" customWidth="1"/>
    <col min="2" max="2" width="71.33203125" customWidth="1"/>
    <col min="3" max="3" width="25.44140625" bestFit="1" customWidth="1"/>
    <col min="4" max="4" width="12.21875" bestFit="1" customWidth="1"/>
    <col min="5" max="5" width="34.88671875" bestFit="1" customWidth="1"/>
    <col min="6" max="6" width="12.21875" bestFit="1" customWidth="1"/>
  </cols>
  <sheetData>
    <row r="1" spans="1:6" ht="25.5" customHeight="1" x14ac:dyDescent="0.3">
      <c r="A1" s="42" t="s">
        <v>188</v>
      </c>
      <c r="B1" s="42"/>
    </row>
    <row r="2" spans="1:6" ht="15.75" customHeight="1" x14ac:dyDescent="0.3">
      <c r="A2" s="43" t="s">
        <v>189</v>
      </c>
      <c r="B2" s="43"/>
    </row>
    <row r="4" spans="1:6" ht="19.5" customHeight="1" x14ac:dyDescent="0.3">
      <c r="A4" s="45" t="s">
        <v>190</v>
      </c>
      <c r="B4" s="45"/>
    </row>
    <row r="5" spans="1:6" x14ac:dyDescent="0.3">
      <c r="A5" s="2" t="s">
        <v>103</v>
      </c>
      <c r="B5" s="2" t="s">
        <v>114</v>
      </c>
      <c r="C5" s="18" t="s">
        <v>769</v>
      </c>
      <c r="D5" t="s">
        <v>771</v>
      </c>
      <c r="E5" s="18" t="s">
        <v>769</v>
      </c>
      <c r="F5" t="s">
        <v>771</v>
      </c>
    </row>
    <row r="6" spans="1:6" x14ac:dyDescent="0.3">
      <c r="A6" s="7" t="s">
        <v>191</v>
      </c>
      <c r="B6" s="11">
        <v>10368</v>
      </c>
      <c r="C6" s="19" t="s">
        <v>192</v>
      </c>
      <c r="D6" s="20">
        <v>683</v>
      </c>
      <c r="E6" s="19" t="s">
        <v>195</v>
      </c>
      <c r="F6" s="20">
        <v>4305</v>
      </c>
    </row>
    <row r="7" spans="1:6" x14ac:dyDescent="0.3">
      <c r="A7" s="9" t="s">
        <v>192</v>
      </c>
      <c r="B7" s="14">
        <v>683</v>
      </c>
      <c r="C7" s="19" t="s">
        <v>191</v>
      </c>
      <c r="D7" s="20">
        <v>10368</v>
      </c>
      <c r="E7" s="19" t="s">
        <v>194</v>
      </c>
      <c r="F7" s="20">
        <v>21203</v>
      </c>
    </row>
    <row r="8" spans="1:6" x14ac:dyDescent="0.3">
      <c r="A8" s="7" t="s">
        <v>193</v>
      </c>
      <c r="B8" s="11">
        <v>11051</v>
      </c>
      <c r="C8" s="19" t="s">
        <v>770</v>
      </c>
      <c r="D8" s="20">
        <v>11051</v>
      </c>
      <c r="E8" s="19" t="s">
        <v>770</v>
      </c>
      <c r="F8" s="20">
        <v>25508</v>
      </c>
    </row>
    <row r="9" spans="1:6" x14ac:dyDescent="0.3">
      <c r="A9" s="9" t="s">
        <v>194</v>
      </c>
      <c r="B9" s="14">
        <v>21203</v>
      </c>
    </row>
    <row r="10" spans="1:6" x14ac:dyDescent="0.3">
      <c r="A10" s="7" t="s">
        <v>195</v>
      </c>
      <c r="B10" s="11">
        <v>4305</v>
      </c>
    </row>
    <row r="11" spans="1:6" x14ac:dyDescent="0.3">
      <c r="A11" s="9" t="s">
        <v>196</v>
      </c>
      <c r="B11" s="14">
        <v>25508</v>
      </c>
    </row>
    <row r="13" spans="1:6" ht="19.5" customHeight="1" x14ac:dyDescent="0.3">
      <c r="A13" s="45" t="s">
        <v>197</v>
      </c>
      <c r="B13" s="45"/>
    </row>
    <row r="14" spans="1:6" x14ac:dyDescent="0.3">
      <c r="A14" s="2" t="s">
        <v>103</v>
      </c>
      <c r="B14" s="2" t="s">
        <v>114</v>
      </c>
    </row>
    <row r="15" spans="1:6" x14ac:dyDescent="0.3">
      <c r="A15" s="7" t="s">
        <v>191</v>
      </c>
      <c r="B15" s="11">
        <v>10368</v>
      </c>
    </row>
    <row r="16" spans="1:6" x14ac:dyDescent="0.3">
      <c r="A16" s="9" t="s">
        <v>192</v>
      </c>
      <c r="B16" s="14">
        <v>683</v>
      </c>
    </row>
    <row r="17" spans="1:2" x14ac:dyDescent="0.3">
      <c r="A17" s="7" t="s">
        <v>193</v>
      </c>
      <c r="B17" s="11">
        <v>11051</v>
      </c>
    </row>
    <row r="18" spans="1:2" x14ac:dyDescent="0.3">
      <c r="A18" s="9" t="s">
        <v>194</v>
      </c>
      <c r="B18" s="14">
        <v>21203</v>
      </c>
    </row>
    <row r="19" spans="1:2" x14ac:dyDescent="0.3">
      <c r="A19" s="7" t="s">
        <v>195</v>
      </c>
      <c r="B19" s="11">
        <v>4305</v>
      </c>
    </row>
    <row r="20" spans="1:2" x14ac:dyDescent="0.3">
      <c r="A20" s="9" t="s">
        <v>196</v>
      </c>
      <c r="B20" s="14">
        <v>25508</v>
      </c>
    </row>
    <row r="22" spans="1:2" ht="19.5" customHeight="1" x14ac:dyDescent="0.3">
      <c r="A22" s="45" t="s">
        <v>198</v>
      </c>
      <c r="B22" s="45"/>
    </row>
    <row r="23" spans="1:2" x14ac:dyDescent="0.3">
      <c r="A23" s="2" t="s">
        <v>103</v>
      </c>
      <c r="B23" s="2" t="s">
        <v>114</v>
      </c>
    </row>
    <row r="24" spans="1:2" x14ac:dyDescent="0.3">
      <c r="A24" s="7" t="s">
        <v>191</v>
      </c>
      <c r="B24" s="12">
        <v>1</v>
      </c>
    </row>
    <row r="25" spans="1:2" x14ac:dyDescent="0.3">
      <c r="A25" s="9" t="s">
        <v>192</v>
      </c>
      <c r="B25" s="15">
        <v>1</v>
      </c>
    </row>
    <row r="26" spans="1:2" x14ac:dyDescent="0.3">
      <c r="A26" s="7" t="s">
        <v>193</v>
      </c>
      <c r="B26" s="12">
        <v>1</v>
      </c>
    </row>
    <row r="27" spans="1:2" x14ac:dyDescent="0.3">
      <c r="A27" s="9" t="s">
        <v>194</v>
      </c>
      <c r="B27" s="15">
        <v>1</v>
      </c>
    </row>
    <row r="28" spans="1:2" x14ac:dyDescent="0.3">
      <c r="A28" s="7" t="s">
        <v>195</v>
      </c>
      <c r="B28" s="12">
        <v>1</v>
      </c>
    </row>
    <row r="29" spans="1:2" x14ac:dyDescent="0.3">
      <c r="A29" s="9" t="s">
        <v>196</v>
      </c>
      <c r="B29" s="15">
        <v>1</v>
      </c>
    </row>
    <row r="31" spans="1:2" ht="19.5" customHeight="1" x14ac:dyDescent="0.3">
      <c r="A31" s="45" t="s">
        <v>199</v>
      </c>
      <c r="B31" s="45"/>
    </row>
    <row r="32" spans="1:2" x14ac:dyDescent="0.3">
      <c r="A32" s="2" t="s">
        <v>103</v>
      </c>
      <c r="B32" s="2" t="s">
        <v>114</v>
      </c>
    </row>
    <row r="33" spans="1:2" x14ac:dyDescent="0.3">
      <c r="A33" s="7" t="s">
        <v>191</v>
      </c>
      <c r="B33" s="11">
        <v>10368</v>
      </c>
    </row>
    <row r="34" spans="1:2" x14ac:dyDescent="0.3">
      <c r="A34" s="9" t="s">
        <v>192</v>
      </c>
      <c r="B34" s="14">
        <v>683</v>
      </c>
    </row>
    <row r="35" spans="1:2" x14ac:dyDescent="0.3">
      <c r="A35" s="7" t="s">
        <v>193</v>
      </c>
      <c r="B35" s="11">
        <v>11051</v>
      </c>
    </row>
    <row r="36" spans="1:2" x14ac:dyDescent="0.3">
      <c r="A36" s="9" t="s">
        <v>194</v>
      </c>
      <c r="B36" s="14">
        <v>21203</v>
      </c>
    </row>
    <row r="37" spans="1:2" x14ac:dyDescent="0.3">
      <c r="A37" s="7" t="s">
        <v>195</v>
      </c>
      <c r="B37" s="11">
        <v>4305</v>
      </c>
    </row>
    <row r="38" spans="1:2" x14ac:dyDescent="0.3">
      <c r="A38" s="9" t="s">
        <v>196</v>
      </c>
      <c r="B38" s="14">
        <v>25508</v>
      </c>
    </row>
    <row r="40" spans="1:2" ht="19.5" customHeight="1" x14ac:dyDescent="0.3">
      <c r="A40" s="45" t="s">
        <v>200</v>
      </c>
      <c r="B40" s="45"/>
    </row>
    <row r="41" spans="1:2" x14ac:dyDescent="0.3">
      <c r="A41" s="2" t="s">
        <v>103</v>
      </c>
      <c r="B41" s="2" t="s">
        <v>114</v>
      </c>
    </row>
    <row r="42" spans="1:2" x14ac:dyDescent="0.3">
      <c r="A42" s="7" t="s">
        <v>191</v>
      </c>
      <c r="B42" s="12">
        <v>1</v>
      </c>
    </row>
    <row r="43" spans="1:2" x14ac:dyDescent="0.3">
      <c r="A43" s="9" t="s">
        <v>192</v>
      </c>
      <c r="B43" s="15">
        <v>1</v>
      </c>
    </row>
    <row r="44" spans="1:2" x14ac:dyDescent="0.3">
      <c r="A44" s="7" t="s">
        <v>193</v>
      </c>
      <c r="B44" s="12">
        <v>1</v>
      </c>
    </row>
    <row r="45" spans="1:2" x14ac:dyDescent="0.3">
      <c r="A45" s="9" t="s">
        <v>194</v>
      </c>
      <c r="B45" s="15">
        <v>1</v>
      </c>
    </row>
    <row r="46" spans="1:2" x14ac:dyDescent="0.3">
      <c r="A46" s="7" t="s">
        <v>195</v>
      </c>
      <c r="B46" s="12">
        <v>1</v>
      </c>
    </row>
    <row r="47" spans="1:2" x14ac:dyDescent="0.3">
      <c r="A47" s="9" t="s">
        <v>196</v>
      </c>
      <c r="B47" s="15">
        <v>1</v>
      </c>
    </row>
    <row r="49" spans="1:2" ht="19.5" customHeight="1" x14ac:dyDescent="0.3">
      <c r="A49" s="45" t="s">
        <v>201</v>
      </c>
      <c r="B49" s="45"/>
    </row>
    <row r="50" spans="1:2" x14ac:dyDescent="0.3">
      <c r="A50" s="2" t="s">
        <v>103</v>
      </c>
      <c r="B50" s="2" t="s">
        <v>114</v>
      </c>
    </row>
    <row r="51" spans="1:2" x14ac:dyDescent="0.3">
      <c r="A51" s="7" t="s">
        <v>191</v>
      </c>
      <c r="B51" s="8"/>
    </row>
    <row r="52" spans="1:2" x14ac:dyDescent="0.3">
      <c r="A52" s="9" t="s">
        <v>192</v>
      </c>
      <c r="B52" s="14">
        <v>683</v>
      </c>
    </row>
    <row r="53" spans="1:2" x14ac:dyDescent="0.3">
      <c r="A53" s="7" t="s">
        <v>193</v>
      </c>
      <c r="B53" s="11">
        <v>683</v>
      </c>
    </row>
    <row r="54" spans="1:2" x14ac:dyDescent="0.3">
      <c r="A54" s="9" t="s">
        <v>194</v>
      </c>
      <c r="B54" s="10"/>
    </row>
    <row r="55" spans="1:2" x14ac:dyDescent="0.3">
      <c r="A55" s="7" t="s">
        <v>195</v>
      </c>
      <c r="B55" s="11">
        <v>4305</v>
      </c>
    </row>
    <row r="56" spans="1:2" x14ac:dyDescent="0.3">
      <c r="A56" s="9" t="s">
        <v>196</v>
      </c>
      <c r="B56" s="14">
        <v>4305</v>
      </c>
    </row>
    <row r="58" spans="1:2" ht="19.5" customHeight="1" x14ac:dyDescent="0.3">
      <c r="A58" s="45" t="s">
        <v>202</v>
      </c>
      <c r="B58" s="45"/>
    </row>
    <row r="59" spans="1:2" x14ac:dyDescent="0.3">
      <c r="A59" s="2" t="s">
        <v>103</v>
      </c>
      <c r="B59" s="2" t="s">
        <v>114</v>
      </c>
    </row>
    <row r="60" spans="1:2" x14ac:dyDescent="0.3">
      <c r="A60" s="7" t="s">
        <v>191</v>
      </c>
      <c r="B60" s="8"/>
    </row>
    <row r="61" spans="1:2" x14ac:dyDescent="0.3">
      <c r="A61" s="9" t="s">
        <v>192</v>
      </c>
      <c r="B61" s="15">
        <v>1</v>
      </c>
    </row>
    <row r="62" spans="1:2" x14ac:dyDescent="0.3">
      <c r="A62" s="7" t="s">
        <v>193</v>
      </c>
      <c r="B62" s="12">
        <v>1</v>
      </c>
    </row>
    <row r="63" spans="1:2" x14ac:dyDescent="0.3">
      <c r="A63" s="9" t="s">
        <v>194</v>
      </c>
      <c r="B63" s="10"/>
    </row>
    <row r="64" spans="1:2" x14ac:dyDescent="0.3">
      <c r="A64" s="7" t="s">
        <v>195</v>
      </c>
      <c r="B64" s="12">
        <v>1</v>
      </c>
    </row>
    <row r="65" spans="1:2" x14ac:dyDescent="0.3">
      <c r="A65" s="9" t="s">
        <v>196</v>
      </c>
      <c r="B65" s="15">
        <v>1</v>
      </c>
    </row>
    <row r="67" spans="1:2" ht="19.5" customHeight="1" x14ac:dyDescent="0.3">
      <c r="A67" s="45" t="s">
        <v>203</v>
      </c>
      <c r="B67" s="45"/>
    </row>
    <row r="68" spans="1:2" x14ac:dyDescent="0.3">
      <c r="A68" s="2" t="s">
        <v>103</v>
      </c>
      <c r="B68" s="2" t="s">
        <v>114</v>
      </c>
    </row>
    <row r="69" spans="1:2" x14ac:dyDescent="0.3">
      <c r="A69" s="7" t="s">
        <v>191</v>
      </c>
      <c r="B69" s="8"/>
    </row>
    <row r="70" spans="1:2" x14ac:dyDescent="0.3">
      <c r="A70" s="9" t="s">
        <v>192</v>
      </c>
      <c r="B70" s="14">
        <v>683</v>
      </c>
    </row>
    <row r="71" spans="1:2" x14ac:dyDescent="0.3">
      <c r="A71" s="7" t="s">
        <v>193</v>
      </c>
      <c r="B71" s="11">
        <v>683</v>
      </c>
    </row>
    <row r="72" spans="1:2" x14ac:dyDescent="0.3">
      <c r="A72" s="9" t="s">
        <v>194</v>
      </c>
      <c r="B72" s="10"/>
    </row>
    <row r="73" spans="1:2" x14ac:dyDescent="0.3">
      <c r="A73" s="7" t="s">
        <v>195</v>
      </c>
      <c r="B73" s="11">
        <v>4305</v>
      </c>
    </row>
    <row r="74" spans="1:2" x14ac:dyDescent="0.3">
      <c r="A74" s="9" t="s">
        <v>196</v>
      </c>
      <c r="B74" s="14">
        <v>4305</v>
      </c>
    </row>
    <row r="76" spans="1:2" ht="19.5" customHeight="1" x14ac:dyDescent="0.3">
      <c r="A76" s="45" t="s">
        <v>204</v>
      </c>
      <c r="B76" s="45"/>
    </row>
    <row r="77" spans="1:2" x14ac:dyDescent="0.3">
      <c r="A77" s="2" t="s">
        <v>103</v>
      </c>
      <c r="B77" s="2" t="s">
        <v>114</v>
      </c>
    </row>
    <row r="78" spans="1:2" x14ac:dyDescent="0.3">
      <c r="A78" s="7" t="s">
        <v>191</v>
      </c>
      <c r="B78" s="8"/>
    </row>
    <row r="79" spans="1:2" x14ac:dyDescent="0.3">
      <c r="A79" s="9" t="s">
        <v>192</v>
      </c>
      <c r="B79" s="15">
        <v>1</v>
      </c>
    </row>
    <row r="80" spans="1:2" x14ac:dyDescent="0.3">
      <c r="A80" s="7" t="s">
        <v>193</v>
      </c>
      <c r="B80" s="12">
        <v>1</v>
      </c>
    </row>
    <row r="81" spans="1:2" x14ac:dyDescent="0.3">
      <c r="A81" s="9" t="s">
        <v>194</v>
      </c>
      <c r="B81" s="10"/>
    </row>
    <row r="82" spans="1:2" x14ac:dyDescent="0.3">
      <c r="A82" s="7" t="s">
        <v>195</v>
      </c>
      <c r="B82" s="12">
        <v>1</v>
      </c>
    </row>
    <row r="83" spans="1:2" x14ac:dyDescent="0.3">
      <c r="A83" s="9" t="s">
        <v>196</v>
      </c>
      <c r="B83" s="15">
        <v>1</v>
      </c>
    </row>
  </sheetData>
  <mergeCells count="11">
    <mergeCell ref="A76:B76"/>
    <mergeCell ref="A31:B31"/>
    <mergeCell ref="A40:B40"/>
    <mergeCell ref="A49:B49"/>
    <mergeCell ref="A58:B58"/>
    <mergeCell ref="A67:B67"/>
    <mergeCell ref="A1:B1"/>
    <mergeCell ref="A2:B2"/>
    <mergeCell ref="A4:B4"/>
    <mergeCell ref="A13:B13"/>
    <mergeCell ref="A22:B22"/>
  </mergeCells>
  <pageMargins left="0.75" right="0.75" top="1" bottom="1" header="0.511811023622047" footer="0.511811023622047"/>
  <pageSetup paperSize="9" orientation="portrait" horizontalDpi="300" verticalDpi="30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5"/>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47" customWidth="1"/>
    <col min="2" max="2" width="37" customWidth="1"/>
    <col min="3" max="3" width="38" customWidth="1"/>
  </cols>
  <sheetData>
    <row r="1" spans="1:3" ht="25.5" customHeight="1" x14ac:dyDescent="0.3">
      <c r="A1" s="42" t="s">
        <v>205</v>
      </c>
      <c r="B1" s="42"/>
      <c r="C1" s="42"/>
    </row>
    <row r="2" spans="1:3" ht="15.75" customHeight="1" x14ac:dyDescent="0.3">
      <c r="A2" s="43" t="s">
        <v>177</v>
      </c>
      <c r="B2" s="43"/>
      <c r="C2" s="43"/>
    </row>
    <row r="4" spans="1:3" ht="30" customHeight="1" x14ac:dyDescent="0.3">
      <c r="A4" s="2"/>
      <c r="B4" s="2" t="s">
        <v>206</v>
      </c>
      <c r="C4" s="2" t="s">
        <v>207</v>
      </c>
    </row>
    <row r="5" spans="1:3" ht="26.4" x14ac:dyDescent="0.3">
      <c r="A5" s="7" t="s">
        <v>208</v>
      </c>
      <c r="B5" s="8" t="s">
        <v>209</v>
      </c>
      <c r="C5" s="8" t="s">
        <v>209</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6"/>
  <sheetViews>
    <sheetView showGridLines="0" zoomScaleNormal="100" workbookViewId="0">
      <selection sqref="A1:C1"/>
    </sheetView>
  </sheetViews>
  <sheetFormatPr defaultColWidth="8.6640625" defaultRowHeight="14.4" x14ac:dyDescent="0.3"/>
  <cols>
    <col min="1" max="1" width="50" customWidth="1"/>
    <col min="2" max="3" width="14" customWidth="1"/>
  </cols>
  <sheetData>
    <row r="1" spans="1:3" ht="25.5" customHeight="1" x14ac:dyDescent="0.3">
      <c r="A1" s="42" t="s">
        <v>210</v>
      </c>
      <c r="B1" s="42"/>
      <c r="C1" s="42"/>
    </row>
    <row r="2" spans="1:3" ht="15.75" customHeight="1" x14ac:dyDescent="0.3">
      <c r="A2" s="43" t="s">
        <v>189</v>
      </c>
      <c r="B2" s="43"/>
      <c r="C2" s="43"/>
    </row>
    <row r="4" spans="1:3" ht="19.5" customHeight="1" x14ac:dyDescent="0.3">
      <c r="A4" s="45" t="s">
        <v>211</v>
      </c>
      <c r="B4" s="45"/>
      <c r="C4" s="45"/>
    </row>
    <row r="5" spans="1:3" x14ac:dyDescent="0.3">
      <c r="A5" s="2" t="s">
        <v>103</v>
      </c>
      <c r="B5" s="2" t="s">
        <v>104</v>
      </c>
      <c r="C5" s="2" t="s">
        <v>105</v>
      </c>
    </row>
    <row r="6" spans="1:3" ht="26.4" x14ac:dyDescent="0.3">
      <c r="A6" s="7" t="s">
        <v>208</v>
      </c>
      <c r="B6" s="12">
        <v>2E-3</v>
      </c>
      <c r="C6" s="12">
        <v>2E-3</v>
      </c>
    </row>
  </sheetData>
  <mergeCells count="3">
    <mergeCell ref="A1:C1"/>
    <mergeCell ref="A2:C2"/>
    <mergeCell ref="A4:C4"/>
  </mergeCell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9"/>
  <sheetViews>
    <sheetView showGridLines="0"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8.6640625" defaultRowHeight="14.4" x14ac:dyDescent="0.3"/>
  <cols>
    <col min="1" max="1" width="30" customWidth="1"/>
    <col min="2" max="7" width="47" customWidth="1"/>
  </cols>
  <sheetData>
    <row r="1" spans="1:7" ht="25.5" customHeight="1" x14ac:dyDescent="0.3">
      <c r="A1" s="42" t="s">
        <v>212</v>
      </c>
      <c r="B1" s="42"/>
      <c r="C1" s="42"/>
      <c r="D1" s="42"/>
      <c r="E1" s="42"/>
      <c r="F1" s="42"/>
      <c r="G1" s="42"/>
    </row>
    <row r="2" spans="1:7" ht="15.75" customHeight="1" x14ac:dyDescent="0.3">
      <c r="A2" s="43" t="s">
        <v>177</v>
      </c>
      <c r="B2" s="43"/>
      <c r="C2" s="43"/>
      <c r="D2" s="43"/>
      <c r="E2" s="43"/>
      <c r="F2" s="43"/>
      <c r="G2" s="43"/>
    </row>
    <row r="4" spans="1:7" ht="30" customHeight="1" x14ac:dyDescent="0.3">
      <c r="A4" s="2" t="s">
        <v>213</v>
      </c>
      <c r="B4" s="44" t="s">
        <v>206</v>
      </c>
      <c r="C4" s="44"/>
      <c r="D4" s="44"/>
      <c r="E4" s="44" t="s">
        <v>207</v>
      </c>
      <c r="F4" s="44"/>
      <c r="G4" s="44"/>
    </row>
    <row r="5" spans="1:7" ht="30" customHeight="1" x14ac:dyDescent="0.3">
      <c r="A5" s="2"/>
      <c r="B5" s="2" t="s">
        <v>214</v>
      </c>
      <c r="C5" s="2" t="s">
        <v>215</v>
      </c>
      <c r="D5" s="2" t="s">
        <v>216</v>
      </c>
      <c r="E5" s="2" t="s">
        <v>214</v>
      </c>
      <c r="F5" s="2" t="s">
        <v>215</v>
      </c>
      <c r="G5" s="2" t="s">
        <v>216</v>
      </c>
    </row>
    <row r="6" spans="1:7" x14ac:dyDescent="0.3">
      <c r="A6" s="7" t="s">
        <v>217</v>
      </c>
      <c r="B6" s="8" t="s">
        <v>111</v>
      </c>
      <c r="C6" s="8" t="s">
        <v>111</v>
      </c>
      <c r="D6" s="8" t="s">
        <v>218</v>
      </c>
      <c r="E6" s="8" t="s">
        <v>111</v>
      </c>
      <c r="F6" s="8" t="s">
        <v>111</v>
      </c>
      <c r="G6" s="8" t="s">
        <v>218</v>
      </c>
    </row>
    <row r="7" spans="1:7" x14ac:dyDescent="0.3">
      <c r="A7" s="9" t="s">
        <v>219</v>
      </c>
      <c r="B7" s="10" t="s">
        <v>111</v>
      </c>
      <c r="C7" s="10" t="s">
        <v>111</v>
      </c>
      <c r="D7" s="10" t="s">
        <v>218</v>
      </c>
      <c r="E7" s="10" t="s">
        <v>111</v>
      </c>
      <c r="F7" s="10" t="s">
        <v>111</v>
      </c>
      <c r="G7" s="10" t="s">
        <v>218</v>
      </c>
    </row>
    <row r="8" spans="1:7" x14ac:dyDescent="0.3">
      <c r="A8" s="7" t="s">
        <v>220</v>
      </c>
      <c r="B8" s="8" t="s">
        <v>221</v>
      </c>
      <c r="C8" s="8" t="s">
        <v>222</v>
      </c>
      <c r="D8" s="8" t="s">
        <v>218</v>
      </c>
      <c r="E8" s="8" t="s">
        <v>221</v>
      </c>
      <c r="F8" s="8" t="s">
        <v>222</v>
      </c>
      <c r="G8" s="8" t="s">
        <v>218</v>
      </c>
    </row>
    <row r="9" spans="1:7" x14ac:dyDescent="0.3">
      <c r="A9" s="9" t="s">
        <v>223</v>
      </c>
      <c r="B9" s="10" t="s">
        <v>97</v>
      </c>
      <c r="C9" s="10" t="s">
        <v>97</v>
      </c>
      <c r="D9" s="10" t="s">
        <v>97</v>
      </c>
      <c r="E9" s="10" t="s">
        <v>97</v>
      </c>
      <c r="F9" s="10" t="s">
        <v>97</v>
      </c>
      <c r="G9" s="10" t="s">
        <v>97</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6"/>
  <sheetViews>
    <sheetView showGridLines="0" zoomScaleNormal="100" workbookViewId="0">
      <selection sqref="A1:C1"/>
    </sheetView>
  </sheetViews>
  <sheetFormatPr defaultColWidth="8.6640625" defaultRowHeight="14.4" x14ac:dyDescent="0.3"/>
  <cols>
    <col min="1" max="1" width="24" customWidth="1"/>
    <col min="2" max="2" width="14" customWidth="1"/>
    <col min="3" max="3" width="36" customWidth="1"/>
  </cols>
  <sheetData>
    <row r="1" spans="1:3" ht="25.5" customHeight="1" x14ac:dyDescent="0.3">
      <c r="A1" s="42" t="s">
        <v>224</v>
      </c>
      <c r="B1" s="42"/>
      <c r="C1" s="42"/>
    </row>
    <row r="2" spans="1:3" ht="15.75" customHeight="1" x14ac:dyDescent="0.3">
      <c r="A2" s="43" t="s">
        <v>189</v>
      </c>
      <c r="B2" s="43"/>
      <c r="C2" s="43"/>
    </row>
    <row r="4" spans="1:3" ht="19.5" customHeight="1" x14ac:dyDescent="0.3">
      <c r="A4" s="45" t="s">
        <v>225</v>
      </c>
      <c r="B4" s="45"/>
      <c r="C4" s="45"/>
    </row>
    <row r="5" spans="1:3" x14ac:dyDescent="0.3">
      <c r="A5" s="2" t="s">
        <v>103</v>
      </c>
      <c r="B5" s="2" t="s">
        <v>104</v>
      </c>
      <c r="C5" s="2" t="s">
        <v>105</v>
      </c>
    </row>
    <row r="6" spans="1:3" x14ac:dyDescent="0.3">
      <c r="A6" s="7" t="s">
        <v>217</v>
      </c>
      <c r="B6" s="12">
        <v>1</v>
      </c>
      <c r="C6" s="12">
        <v>1</v>
      </c>
    </row>
    <row r="7" spans="1:3" x14ac:dyDescent="0.3">
      <c r="A7" s="9" t="s">
        <v>219</v>
      </c>
      <c r="B7" s="15">
        <v>1</v>
      </c>
      <c r="C7" s="15">
        <v>1</v>
      </c>
    </row>
    <row r="8" spans="1:3" x14ac:dyDescent="0.3">
      <c r="A8" s="7" t="s">
        <v>220</v>
      </c>
      <c r="B8" s="12">
        <v>0.02</v>
      </c>
      <c r="C8" s="12">
        <v>0.02</v>
      </c>
    </row>
    <row r="9" spans="1:3" x14ac:dyDescent="0.3">
      <c r="A9" s="9" t="s">
        <v>223</v>
      </c>
      <c r="B9" s="10"/>
      <c r="C9" s="10"/>
    </row>
    <row r="11" spans="1:3" ht="19.5" customHeight="1" x14ac:dyDescent="0.3">
      <c r="A11" s="45" t="s">
        <v>226</v>
      </c>
      <c r="B11" s="45"/>
      <c r="C11" s="45"/>
    </row>
    <row r="12" spans="1:3" x14ac:dyDescent="0.3">
      <c r="A12" s="2" t="s">
        <v>103</v>
      </c>
      <c r="B12" s="2" t="s">
        <v>104</v>
      </c>
      <c r="C12" s="2" t="s">
        <v>105</v>
      </c>
    </row>
    <row r="13" spans="1:3" x14ac:dyDescent="0.3">
      <c r="A13" s="7" t="s">
        <v>217</v>
      </c>
      <c r="B13" s="12">
        <v>1</v>
      </c>
      <c r="C13" s="12">
        <v>1</v>
      </c>
    </row>
    <row r="14" spans="1:3" x14ac:dyDescent="0.3">
      <c r="A14" s="9" t="s">
        <v>219</v>
      </c>
      <c r="B14" s="15">
        <v>1</v>
      </c>
      <c r="C14" s="15">
        <v>1</v>
      </c>
    </row>
    <row r="15" spans="1:3" x14ac:dyDescent="0.3">
      <c r="A15" s="7" t="s">
        <v>220</v>
      </c>
      <c r="B15" s="12">
        <v>0.17</v>
      </c>
      <c r="C15" s="12">
        <v>0.17</v>
      </c>
    </row>
    <row r="16" spans="1:3" x14ac:dyDescent="0.3">
      <c r="A16" s="9" t="s">
        <v>223</v>
      </c>
      <c r="B16" s="10"/>
      <c r="C16" s="10"/>
    </row>
  </sheetData>
  <mergeCells count="4">
    <mergeCell ref="A1:C1"/>
    <mergeCell ref="A2:C2"/>
    <mergeCell ref="A4:C4"/>
    <mergeCell ref="A11:C1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8"/>
  <sheetViews>
    <sheetView showGridLines="0" zoomScaleNormal="100" workbookViewId="0">
      <pane xSplit="1" ySplit="5" topLeftCell="B6" activePane="bottomRight" state="frozen"/>
      <selection pane="topRight" activeCell="B1" sqref="B1"/>
      <selection pane="bottomLeft" activeCell="A6" sqref="A6"/>
      <selection pane="bottomRight" sqref="A1:E1"/>
    </sheetView>
  </sheetViews>
  <sheetFormatPr defaultColWidth="8.6640625" defaultRowHeight="14.4" x14ac:dyDescent="0.3"/>
  <cols>
    <col min="1" max="1" width="30" customWidth="1"/>
    <col min="2" max="2" width="21" customWidth="1"/>
    <col min="3" max="3" width="16" customWidth="1"/>
    <col min="4" max="4" width="21" customWidth="1"/>
    <col min="5" max="5" width="16" customWidth="1"/>
  </cols>
  <sheetData>
    <row r="1" spans="1:5" ht="25.5" customHeight="1" x14ac:dyDescent="0.3">
      <c r="A1" s="42" t="s">
        <v>227</v>
      </c>
      <c r="B1" s="42"/>
      <c r="C1" s="42"/>
      <c r="D1" s="42"/>
      <c r="E1" s="42"/>
    </row>
    <row r="2" spans="1:5" ht="15.75" customHeight="1" x14ac:dyDescent="0.3">
      <c r="A2" s="43" t="s">
        <v>228</v>
      </c>
      <c r="B2" s="43"/>
      <c r="C2" s="43"/>
      <c r="D2" s="43"/>
      <c r="E2" s="43"/>
    </row>
    <row r="4" spans="1:5" ht="30" customHeight="1" x14ac:dyDescent="0.3">
      <c r="A4" s="2"/>
      <c r="B4" s="44" t="s">
        <v>134</v>
      </c>
      <c r="C4" s="44"/>
      <c r="D4" s="44" t="s">
        <v>180</v>
      </c>
      <c r="E4" s="44"/>
    </row>
    <row r="5" spans="1:5" ht="30" customHeight="1" x14ac:dyDescent="0.3">
      <c r="A5" s="2" t="s">
        <v>229</v>
      </c>
      <c r="B5" s="2" t="s">
        <v>230</v>
      </c>
      <c r="C5" s="2" t="s">
        <v>231</v>
      </c>
      <c r="D5" s="2" t="s">
        <v>230</v>
      </c>
      <c r="E5" s="2" t="s">
        <v>231</v>
      </c>
    </row>
    <row r="6" spans="1:5" x14ac:dyDescent="0.3">
      <c r="A6" s="7" t="s">
        <v>135</v>
      </c>
      <c r="B6" s="8" t="s">
        <v>111</v>
      </c>
      <c r="C6" s="8" t="s">
        <v>232</v>
      </c>
      <c r="D6" s="8" t="s">
        <v>97</v>
      </c>
      <c r="E6" s="8" t="s">
        <v>97</v>
      </c>
    </row>
    <row r="7" spans="1:5" x14ac:dyDescent="0.3">
      <c r="A7" s="9" t="s">
        <v>137</v>
      </c>
      <c r="B7" s="10" t="s">
        <v>233</v>
      </c>
      <c r="C7" s="10" t="s">
        <v>234</v>
      </c>
      <c r="D7" s="10" t="s">
        <v>235</v>
      </c>
      <c r="E7" s="10" t="s">
        <v>236</v>
      </c>
    </row>
    <row r="8" spans="1:5" x14ac:dyDescent="0.3">
      <c r="A8" s="7" t="s">
        <v>139</v>
      </c>
      <c r="B8" s="8" t="s">
        <v>111</v>
      </c>
      <c r="C8" s="8" t="s">
        <v>232</v>
      </c>
      <c r="D8" s="8" t="s">
        <v>235</v>
      </c>
      <c r="E8" s="8" t="s">
        <v>236</v>
      </c>
    </row>
  </sheetData>
  <mergeCells count="4">
    <mergeCell ref="A1:E1"/>
    <mergeCell ref="A2:E2"/>
    <mergeCell ref="B4:C4"/>
    <mergeCell ref="D4:E4"/>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showGridLines="0" zoomScaleNormal="100" workbookViewId="0">
      <selection activeCell="D17" sqref="D17"/>
    </sheetView>
  </sheetViews>
  <sheetFormatPr defaultColWidth="8.6640625" defaultRowHeight="14.4" x14ac:dyDescent="0.3"/>
  <cols>
    <col min="1" max="1" width="18" customWidth="1"/>
    <col min="2" max="2" width="49.44140625" customWidth="1"/>
    <col min="3" max="3" width="12.5546875" bestFit="1" customWidth="1"/>
    <col min="4" max="4" width="12.21875" bestFit="1" customWidth="1"/>
    <col min="6" max="6" width="12.5546875" bestFit="1" customWidth="1"/>
    <col min="7" max="7" width="19.109375" bestFit="1" customWidth="1"/>
    <col min="8" max="8" width="14.77734375" bestFit="1" customWidth="1"/>
  </cols>
  <sheetData>
    <row r="1" spans="1:8" ht="25.5" customHeight="1" x14ac:dyDescent="0.3">
      <c r="A1" s="42" t="s">
        <v>237</v>
      </c>
      <c r="B1" s="42"/>
    </row>
    <row r="2" spans="1:8" ht="15.75" customHeight="1" x14ac:dyDescent="0.3">
      <c r="A2" s="43" t="s">
        <v>238</v>
      </c>
      <c r="B2" s="43"/>
    </row>
    <row r="4" spans="1:8" ht="19.5" customHeight="1" x14ac:dyDescent="0.3">
      <c r="A4" s="45" t="s">
        <v>239</v>
      </c>
      <c r="B4" s="45"/>
    </row>
    <row r="5" spans="1:8" ht="26.4" x14ac:dyDescent="0.3">
      <c r="A5" s="2" t="s">
        <v>103</v>
      </c>
      <c r="B5" s="2" t="s">
        <v>114</v>
      </c>
      <c r="C5" s="2" t="s">
        <v>103</v>
      </c>
      <c r="D5" s="22" t="s">
        <v>772</v>
      </c>
      <c r="E5" s="22" t="s">
        <v>231</v>
      </c>
      <c r="F5" s="18" t="s">
        <v>769</v>
      </c>
      <c r="G5" t="s">
        <v>773</v>
      </c>
      <c r="H5" t="s">
        <v>774</v>
      </c>
    </row>
    <row r="6" spans="1:8" x14ac:dyDescent="0.3">
      <c r="A6" s="7" t="s">
        <v>135</v>
      </c>
      <c r="B6" s="12">
        <v>1</v>
      </c>
      <c r="C6" s="7" t="s">
        <v>135</v>
      </c>
      <c r="D6" s="12">
        <v>1</v>
      </c>
      <c r="E6" s="12">
        <v>0.86</v>
      </c>
      <c r="F6" s="19" t="s">
        <v>137</v>
      </c>
      <c r="G6" s="21">
        <v>0.98</v>
      </c>
      <c r="H6" s="21">
        <v>0.84</v>
      </c>
    </row>
    <row r="7" spans="1:8" x14ac:dyDescent="0.3">
      <c r="A7" s="9" t="s">
        <v>137</v>
      </c>
      <c r="B7" s="15">
        <v>0.98</v>
      </c>
      <c r="C7" s="9" t="s">
        <v>137</v>
      </c>
      <c r="D7" s="15">
        <v>0.98</v>
      </c>
      <c r="E7" s="15">
        <v>0.84</v>
      </c>
      <c r="F7" s="19" t="s">
        <v>135</v>
      </c>
      <c r="G7" s="21">
        <v>1</v>
      </c>
      <c r="H7" s="21">
        <v>0.86</v>
      </c>
    </row>
    <row r="8" spans="1:8" x14ac:dyDescent="0.3">
      <c r="A8" s="7" t="s">
        <v>139</v>
      </c>
      <c r="B8" s="12">
        <v>1</v>
      </c>
      <c r="C8" s="7" t="s">
        <v>139</v>
      </c>
      <c r="D8" s="12">
        <v>1</v>
      </c>
      <c r="E8" s="12">
        <v>0.86</v>
      </c>
      <c r="F8" s="19" t="s">
        <v>770</v>
      </c>
      <c r="G8" s="21">
        <v>1.98</v>
      </c>
      <c r="H8" s="21">
        <v>1.7</v>
      </c>
    </row>
    <row r="10" spans="1:8" ht="19.5" customHeight="1" x14ac:dyDescent="0.3">
      <c r="A10" s="45" t="s">
        <v>240</v>
      </c>
      <c r="B10" s="45"/>
    </row>
    <row r="11" spans="1:8" x14ac:dyDescent="0.3">
      <c r="A11" s="2" t="s">
        <v>103</v>
      </c>
      <c r="B11" s="2" t="s">
        <v>114</v>
      </c>
    </row>
    <row r="12" spans="1:8" x14ac:dyDescent="0.3">
      <c r="A12" s="7" t="s">
        <v>135</v>
      </c>
      <c r="B12" s="12">
        <v>0.86</v>
      </c>
    </row>
    <row r="13" spans="1:8" x14ac:dyDescent="0.3">
      <c r="A13" s="9" t="s">
        <v>137</v>
      </c>
      <c r="B13" s="15">
        <v>0.84</v>
      </c>
    </row>
    <row r="14" spans="1:8" x14ac:dyDescent="0.3">
      <c r="A14" s="7" t="s">
        <v>139</v>
      </c>
      <c r="B14" s="12">
        <v>0.86</v>
      </c>
    </row>
    <row r="16" spans="1:8" ht="19.5" customHeight="1" x14ac:dyDescent="0.3">
      <c r="A16" s="45" t="s">
        <v>241</v>
      </c>
      <c r="B16" s="45"/>
    </row>
    <row r="17" spans="1:2" x14ac:dyDescent="0.3">
      <c r="A17" s="2" t="s">
        <v>103</v>
      </c>
      <c r="B17" s="2" t="s">
        <v>114</v>
      </c>
    </row>
    <row r="18" spans="1:2" x14ac:dyDescent="0.3">
      <c r="A18" s="7" t="s">
        <v>135</v>
      </c>
      <c r="B18" s="8"/>
    </row>
    <row r="19" spans="1:2" x14ac:dyDescent="0.3">
      <c r="A19" s="9" t="s">
        <v>137</v>
      </c>
      <c r="B19" s="15">
        <v>0.97</v>
      </c>
    </row>
    <row r="20" spans="1:2" x14ac:dyDescent="0.3">
      <c r="A20" s="7" t="s">
        <v>139</v>
      </c>
      <c r="B20" s="12">
        <v>0.97</v>
      </c>
    </row>
    <row r="22" spans="1:2" ht="19.5" customHeight="1" x14ac:dyDescent="0.3">
      <c r="A22" s="45" t="s">
        <v>242</v>
      </c>
      <c r="B22" s="45"/>
    </row>
    <row r="23" spans="1:2" x14ac:dyDescent="0.3">
      <c r="A23" s="2" t="s">
        <v>103</v>
      </c>
      <c r="B23" s="2" t="s">
        <v>114</v>
      </c>
    </row>
    <row r="24" spans="1:2" x14ac:dyDescent="0.3">
      <c r="A24" s="7" t="s">
        <v>135</v>
      </c>
      <c r="B24" s="8"/>
    </row>
    <row r="25" spans="1:2" x14ac:dyDescent="0.3">
      <c r="A25" s="9" t="s">
        <v>137</v>
      </c>
      <c r="B25" s="15">
        <v>0.88</v>
      </c>
    </row>
    <row r="26" spans="1:2" x14ac:dyDescent="0.3">
      <c r="A26" s="7" t="s">
        <v>139</v>
      </c>
      <c r="B26" s="12">
        <v>0.88</v>
      </c>
    </row>
  </sheetData>
  <mergeCells count="6">
    <mergeCell ref="A22:B22"/>
    <mergeCell ref="A1:B1"/>
    <mergeCell ref="A2:B2"/>
    <mergeCell ref="A4:B4"/>
    <mergeCell ref="A10:B10"/>
    <mergeCell ref="A16:B16"/>
  </mergeCells>
  <pageMargins left="0.75" right="0.75" top="1" bottom="1" header="0.511811023622047" footer="0.511811023622047"/>
  <pageSetup paperSize="9" orientation="portrait" horizontalDpi="300" verticalDpi="30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8"/>
  <sheetViews>
    <sheetView showGridLines="0" zoomScaleNormal="100" workbookViewId="0">
      <pane xSplit="1" ySplit="4" topLeftCell="B5" activePane="bottomRight" state="frozen"/>
      <selection pane="topRight" activeCell="B1" sqref="B1"/>
      <selection pane="bottomLeft" activeCell="A5" sqref="A5"/>
      <selection pane="bottomRight" sqref="A1:B1"/>
    </sheetView>
  </sheetViews>
  <sheetFormatPr defaultColWidth="8.6640625" defaultRowHeight="14.4" x14ac:dyDescent="0.3"/>
  <cols>
    <col min="1" max="1" width="32" customWidth="1"/>
    <col min="2" max="2" width="47" customWidth="1"/>
  </cols>
  <sheetData>
    <row r="1" spans="1:2" ht="25.5" customHeight="1" x14ac:dyDescent="0.3">
      <c r="A1" s="42" t="s">
        <v>243</v>
      </c>
      <c r="B1" s="42"/>
    </row>
    <row r="2" spans="1:2" ht="15.75" customHeight="1" x14ac:dyDescent="0.3">
      <c r="A2" s="43" t="s">
        <v>228</v>
      </c>
      <c r="B2" s="43"/>
    </row>
    <row r="4" spans="1:2" ht="30" customHeight="1" x14ac:dyDescent="0.3">
      <c r="A4" s="2"/>
      <c r="B4" s="2" t="s">
        <v>244</v>
      </c>
    </row>
    <row r="5" spans="1:2" ht="195" customHeight="1" x14ac:dyDescent="0.3">
      <c r="A5" s="7" t="s">
        <v>180</v>
      </c>
      <c r="B5" s="16" t="s">
        <v>245</v>
      </c>
    </row>
    <row r="6" spans="1:2" ht="135" customHeight="1" x14ac:dyDescent="0.3">
      <c r="A6" s="9" t="s">
        <v>184</v>
      </c>
      <c r="B6" s="17" t="s">
        <v>246</v>
      </c>
    </row>
    <row r="7" spans="1:2" x14ac:dyDescent="0.3">
      <c r="A7" s="7" t="s">
        <v>134</v>
      </c>
      <c r="B7" s="16" t="s">
        <v>247</v>
      </c>
    </row>
    <row r="8" spans="1:2" x14ac:dyDescent="0.3">
      <c r="A8" s="9" t="s">
        <v>248</v>
      </c>
      <c r="B8" s="17" t="s">
        <v>249</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1"/>
  <sheetViews>
    <sheetView showGridLines="0"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8.6640625" defaultRowHeight="14.4" x14ac:dyDescent="0.3"/>
  <cols>
    <col min="1" max="1" width="30" customWidth="1"/>
    <col min="2" max="3" width="47" customWidth="1"/>
    <col min="4" max="4" width="14" customWidth="1"/>
    <col min="5" max="6" width="47" customWidth="1"/>
    <col min="7" max="7" width="14" customWidth="1"/>
  </cols>
  <sheetData>
    <row r="1" spans="1:7" ht="25.5" customHeight="1" x14ac:dyDescent="0.3">
      <c r="A1" s="42" t="s">
        <v>250</v>
      </c>
      <c r="B1" s="42"/>
      <c r="C1" s="42"/>
      <c r="D1" s="42"/>
      <c r="E1" s="42"/>
      <c r="F1" s="42"/>
      <c r="G1" s="42"/>
    </row>
    <row r="2" spans="1:7" ht="15.75" customHeight="1" x14ac:dyDescent="0.3">
      <c r="A2" s="43" t="s">
        <v>251</v>
      </c>
      <c r="B2" s="43"/>
      <c r="C2" s="43"/>
      <c r="D2" s="43"/>
      <c r="E2" s="43"/>
      <c r="F2" s="43"/>
      <c r="G2" s="43"/>
    </row>
    <row r="4" spans="1:7" ht="30" customHeight="1" x14ac:dyDescent="0.3">
      <c r="A4" s="2" t="s">
        <v>103</v>
      </c>
      <c r="B4" s="44" t="s">
        <v>206</v>
      </c>
      <c r="C4" s="44"/>
      <c r="D4" s="44"/>
      <c r="E4" s="44" t="s">
        <v>207</v>
      </c>
      <c r="F4" s="44"/>
      <c r="G4" s="44"/>
    </row>
    <row r="5" spans="1:7" ht="30" customHeight="1" x14ac:dyDescent="0.3">
      <c r="A5" s="2"/>
      <c r="B5" s="2" t="s">
        <v>252</v>
      </c>
      <c r="C5" s="2" t="s">
        <v>253</v>
      </c>
      <c r="D5" s="2" t="s">
        <v>125</v>
      </c>
      <c r="E5" s="2" t="s">
        <v>254</v>
      </c>
      <c r="F5" s="2" t="s">
        <v>255</v>
      </c>
      <c r="G5" s="2" t="s">
        <v>256</v>
      </c>
    </row>
    <row r="6" spans="1:7" x14ac:dyDescent="0.3">
      <c r="A6" s="7" t="s">
        <v>257</v>
      </c>
      <c r="B6" s="8" t="s">
        <v>140</v>
      </c>
      <c r="C6" s="8" t="s">
        <v>258</v>
      </c>
      <c r="D6" s="8" t="s">
        <v>259</v>
      </c>
      <c r="E6" s="8" t="s">
        <v>260</v>
      </c>
      <c r="F6" s="8" t="s">
        <v>258</v>
      </c>
      <c r="G6" s="8" t="s">
        <v>259</v>
      </c>
    </row>
    <row r="7" spans="1:7" x14ac:dyDescent="0.3">
      <c r="A7" s="9" t="s">
        <v>261</v>
      </c>
      <c r="B7" s="10" t="s">
        <v>136</v>
      </c>
      <c r="C7" s="10" t="s">
        <v>258</v>
      </c>
      <c r="D7" s="10" t="s">
        <v>259</v>
      </c>
      <c r="E7" s="10" t="s">
        <v>262</v>
      </c>
      <c r="F7" s="10" t="s">
        <v>258</v>
      </c>
      <c r="G7" s="10" t="s">
        <v>259</v>
      </c>
    </row>
    <row r="8" spans="1:7" x14ac:dyDescent="0.3">
      <c r="A8" s="7" t="s">
        <v>263</v>
      </c>
      <c r="B8" s="8" t="s">
        <v>138</v>
      </c>
      <c r="C8" s="8" t="s">
        <v>258</v>
      </c>
      <c r="D8" s="8" t="s">
        <v>259</v>
      </c>
      <c r="E8" s="8" t="s">
        <v>264</v>
      </c>
      <c r="F8" s="8" t="s">
        <v>258</v>
      </c>
      <c r="G8" s="8" t="s">
        <v>259</v>
      </c>
    </row>
    <row r="9" spans="1:7" x14ac:dyDescent="0.3">
      <c r="A9" s="9" t="s">
        <v>265</v>
      </c>
      <c r="B9" s="10" t="s">
        <v>183</v>
      </c>
      <c r="C9" s="10" t="s">
        <v>266</v>
      </c>
      <c r="D9" s="10" t="s">
        <v>232</v>
      </c>
      <c r="E9" s="10" t="s">
        <v>267</v>
      </c>
      <c r="F9" s="10" t="s">
        <v>268</v>
      </c>
      <c r="G9" s="10" t="s">
        <v>232</v>
      </c>
    </row>
    <row r="10" spans="1:7" x14ac:dyDescent="0.3">
      <c r="A10" s="7" t="s">
        <v>261</v>
      </c>
      <c r="B10" s="8" t="s">
        <v>181</v>
      </c>
      <c r="C10" s="8" t="s">
        <v>269</v>
      </c>
      <c r="D10" s="8" t="s">
        <v>270</v>
      </c>
      <c r="E10" s="8" t="s">
        <v>271</v>
      </c>
      <c r="F10" s="8" t="s">
        <v>272</v>
      </c>
      <c r="G10" s="8" t="s">
        <v>273</v>
      </c>
    </row>
    <row r="11" spans="1:7" x14ac:dyDescent="0.3">
      <c r="A11" s="9" t="s">
        <v>263</v>
      </c>
      <c r="B11" s="10" t="s">
        <v>182</v>
      </c>
      <c r="C11" s="10" t="s">
        <v>274</v>
      </c>
      <c r="D11" s="10" t="s">
        <v>275</v>
      </c>
      <c r="E11" s="10" t="s">
        <v>276</v>
      </c>
      <c r="F11" s="10" t="s">
        <v>277</v>
      </c>
      <c r="G11" s="10" t="s">
        <v>278</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9"/>
  <sheetViews>
    <sheetView showGridLines="0" zoomScaleNormal="100" workbookViewId="0">
      <selection sqref="A1:C1"/>
    </sheetView>
  </sheetViews>
  <sheetFormatPr defaultColWidth="8.6640625" defaultRowHeight="14.4" x14ac:dyDescent="0.3"/>
  <cols>
    <col min="1" max="1" width="36" customWidth="1"/>
    <col min="2" max="2" width="14" customWidth="1"/>
    <col min="3" max="3" width="56" customWidth="1"/>
  </cols>
  <sheetData>
    <row r="1" spans="1:3" ht="25.5" customHeight="1" x14ac:dyDescent="0.3">
      <c r="A1" s="42" t="s">
        <v>279</v>
      </c>
      <c r="B1" s="42"/>
      <c r="C1" s="42"/>
    </row>
    <row r="2" spans="1:3" ht="15.75" customHeight="1" x14ac:dyDescent="0.3">
      <c r="A2" s="43" t="s">
        <v>280</v>
      </c>
      <c r="B2" s="43"/>
      <c r="C2" s="43"/>
    </row>
    <row r="4" spans="1:3" ht="19.5" customHeight="1" x14ac:dyDescent="0.3">
      <c r="A4" s="45" t="s">
        <v>281</v>
      </c>
      <c r="B4" s="45"/>
      <c r="C4" s="45"/>
    </row>
    <row r="5" spans="1:3" x14ac:dyDescent="0.3">
      <c r="A5" s="2" t="s">
        <v>103</v>
      </c>
      <c r="B5" s="2" t="s">
        <v>104</v>
      </c>
      <c r="C5" s="2" t="s">
        <v>105</v>
      </c>
    </row>
    <row r="6" spans="1:3" x14ac:dyDescent="0.3">
      <c r="A6" s="7" t="s">
        <v>257</v>
      </c>
      <c r="B6" s="11">
        <v>11442</v>
      </c>
      <c r="C6" s="11">
        <v>11166</v>
      </c>
    </row>
    <row r="7" spans="1:3" x14ac:dyDescent="0.3">
      <c r="A7" s="9" t="s">
        <v>282</v>
      </c>
      <c r="B7" s="14">
        <v>9362</v>
      </c>
      <c r="C7" s="14">
        <v>9234</v>
      </c>
    </row>
    <row r="8" spans="1:3" x14ac:dyDescent="0.3">
      <c r="A8" s="7" t="s">
        <v>283</v>
      </c>
      <c r="B8" s="11">
        <v>2080</v>
      </c>
      <c r="C8" s="11">
        <v>1932</v>
      </c>
    </row>
    <row r="9" spans="1:3" x14ac:dyDescent="0.3">
      <c r="A9" s="9" t="s">
        <v>265</v>
      </c>
      <c r="B9" s="14">
        <v>11051</v>
      </c>
      <c r="C9" s="14">
        <v>10875</v>
      </c>
    </row>
    <row r="10" spans="1:3" x14ac:dyDescent="0.3">
      <c r="A10" s="7" t="s">
        <v>284</v>
      </c>
      <c r="B10" s="11">
        <v>10368</v>
      </c>
      <c r="C10" s="11">
        <v>10197</v>
      </c>
    </row>
    <row r="11" spans="1:3" x14ac:dyDescent="0.3">
      <c r="A11" s="9" t="s">
        <v>285</v>
      </c>
      <c r="B11" s="14">
        <v>683</v>
      </c>
      <c r="C11" s="14">
        <v>678</v>
      </c>
    </row>
    <row r="13" spans="1:3" ht="19.5" customHeight="1" x14ac:dyDescent="0.3">
      <c r="A13" s="45" t="s">
        <v>286</v>
      </c>
      <c r="B13" s="45"/>
      <c r="C13" s="45"/>
    </row>
    <row r="14" spans="1:3" x14ac:dyDescent="0.3">
      <c r="A14" s="2" t="s">
        <v>103</v>
      </c>
      <c r="B14" s="2" t="s">
        <v>104</v>
      </c>
      <c r="C14" s="2" t="s">
        <v>105</v>
      </c>
    </row>
    <row r="15" spans="1:3" x14ac:dyDescent="0.3">
      <c r="A15" s="7" t="s">
        <v>257</v>
      </c>
      <c r="B15" s="11">
        <v>0</v>
      </c>
      <c r="C15" s="11">
        <v>0</v>
      </c>
    </row>
    <row r="16" spans="1:3" x14ac:dyDescent="0.3">
      <c r="A16" s="9" t="s">
        <v>282</v>
      </c>
      <c r="B16" s="14">
        <v>0</v>
      </c>
      <c r="C16" s="14">
        <v>0</v>
      </c>
    </row>
    <row r="17" spans="1:3" x14ac:dyDescent="0.3">
      <c r="A17" s="7" t="s">
        <v>283</v>
      </c>
      <c r="B17" s="11">
        <v>0</v>
      </c>
      <c r="C17" s="11">
        <v>0</v>
      </c>
    </row>
    <row r="18" spans="1:3" x14ac:dyDescent="0.3">
      <c r="A18" s="9" t="s">
        <v>265</v>
      </c>
      <c r="B18" s="14">
        <v>9460</v>
      </c>
      <c r="C18" s="14">
        <v>9348</v>
      </c>
    </row>
    <row r="19" spans="1:3" x14ac:dyDescent="0.3">
      <c r="A19" s="7" t="s">
        <v>284</v>
      </c>
      <c r="B19" s="11">
        <v>9350</v>
      </c>
      <c r="C19" s="11">
        <v>9250</v>
      </c>
    </row>
    <row r="20" spans="1:3" x14ac:dyDescent="0.3">
      <c r="A20" s="9" t="s">
        <v>285</v>
      </c>
      <c r="B20" s="14">
        <v>110</v>
      </c>
      <c r="C20" s="14">
        <v>98</v>
      </c>
    </row>
    <row r="22" spans="1:3" ht="19.5" customHeight="1" x14ac:dyDescent="0.3">
      <c r="A22" s="45" t="s">
        <v>287</v>
      </c>
      <c r="B22" s="45"/>
      <c r="C22" s="45"/>
    </row>
    <row r="23" spans="1:3" x14ac:dyDescent="0.3">
      <c r="A23" s="2" t="s">
        <v>103</v>
      </c>
      <c r="B23" s="2" t="s">
        <v>104</v>
      </c>
      <c r="C23" s="2" t="s">
        <v>105</v>
      </c>
    </row>
    <row r="24" spans="1:3" x14ac:dyDescent="0.3">
      <c r="A24" s="7" t="s">
        <v>257</v>
      </c>
      <c r="B24" s="12">
        <v>0</v>
      </c>
      <c r="C24" s="12">
        <v>0</v>
      </c>
    </row>
    <row r="25" spans="1:3" x14ac:dyDescent="0.3">
      <c r="A25" s="9" t="s">
        <v>282</v>
      </c>
      <c r="B25" s="15">
        <v>0</v>
      </c>
      <c r="C25" s="15">
        <v>0</v>
      </c>
    </row>
    <row r="26" spans="1:3" x14ac:dyDescent="0.3">
      <c r="A26" s="7" t="s">
        <v>283</v>
      </c>
      <c r="B26" s="12">
        <v>0</v>
      </c>
      <c r="C26" s="12">
        <v>0</v>
      </c>
    </row>
    <row r="27" spans="1:3" x14ac:dyDescent="0.3">
      <c r="A27" s="9" t="s">
        <v>265</v>
      </c>
      <c r="B27" s="15">
        <v>0.86</v>
      </c>
      <c r="C27" s="15">
        <v>0.86</v>
      </c>
    </row>
    <row r="28" spans="1:3" x14ac:dyDescent="0.3">
      <c r="A28" s="7" t="s">
        <v>284</v>
      </c>
      <c r="B28" s="12">
        <v>0.9</v>
      </c>
      <c r="C28" s="12">
        <v>0.91</v>
      </c>
    </row>
    <row r="29" spans="1:3" x14ac:dyDescent="0.3">
      <c r="A29" s="9" t="s">
        <v>285</v>
      </c>
      <c r="B29" s="15">
        <v>0.16</v>
      </c>
      <c r="C29" s="15">
        <v>0.14000000000000001</v>
      </c>
    </row>
  </sheetData>
  <mergeCells count="5">
    <mergeCell ref="A1:C1"/>
    <mergeCell ref="A2:C2"/>
    <mergeCell ref="A4:C4"/>
    <mergeCell ref="A13:C13"/>
    <mergeCell ref="A22:C22"/>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4"/>
  <sheetViews>
    <sheetView showGridLines="0" zoomScaleNormal="100" workbookViewId="0">
      <pane xSplit="1" ySplit="6" topLeftCell="B7" activePane="bottomRight" state="frozen"/>
      <selection pane="topRight" activeCell="B1" sqref="B1"/>
      <selection pane="bottomLeft" activeCell="A7" sqref="A7"/>
      <selection pane="bottomRight" sqref="A1:K1"/>
    </sheetView>
  </sheetViews>
  <sheetFormatPr defaultColWidth="8.6640625" defaultRowHeight="14.4" x14ac:dyDescent="0.3"/>
  <cols>
    <col min="1" max="1" width="30" customWidth="1"/>
    <col min="2" max="2" width="37" customWidth="1"/>
    <col min="3" max="3" width="31" customWidth="1"/>
    <col min="4" max="4" width="14" customWidth="1"/>
    <col min="5" max="5" width="22" customWidth="1"/>
    <col min="6" max="6" width="14" customWidth="1"/>
    <col min="7" max="7" width="38" customWidth="1"/>
    <col min="8" max="8" width="31" customWidth="1"/>
    <col min="9" max="9" width="14" customWidth="1"/>
    <col min="10" max="10" width="22" customWidth="1"/>
    <col min="11" max="11" width="14" customWidth="1"/>
  </cols>
  <sheetData>
    <row r="1" spans="1:11" ht="25.5" customHeight="1" x14ac:dyDescent="0.3">
      <c r="A1" s="42" t="s">
        <v>288</v>
      </c>
      <c r="B1" s="42"/>
      <c r="C1" s="42"/>
      <c r="D1" s="42"/>
      <c r="E1" s="42"/>
      <c r="F1" s="42"/>
      <c r="G1" s="42"/>
      <c r="H1" s="42"/>
      <c r="I1" s="42"/>
      <c r="J1" s="42"/>
      <c r="K1" s="42"/>
    </row>
    <row r="2" spans="1:11" ht="15.75" customHeight="1" x14ac:dyDescent="0.3">
      <c r="A2" s="43" t="s">
        <v>251</v>
      </c>
      <c r="B2" s="43"/>
      <c r="C2" s="43"/>
      <c r="D2" s="43"/>
      <c r="E2" s="43"/>
      <c r="F2" s="43"/>
      <c r="G2" s="43"/>
      <c r="H2" s="43"/>
      <c r="I2" s="43"/>
      <c r="J2" s="43"/>
      <c r="K2" s="43"/>
    </row>
    <row r="4" spans="1:11" ht="30" customHeight="1" x14ac:dyDescent="0.3">
      <c r="A4" s="2" t="s">
        <v>103</v>
      </c>
      <c r="B4" s="44" t="s">
        <v>206</v>
      </c>
      <c r="C4" s="44"/>
      <c r="D4" s="44"/>
      <c r="E4" s="44"/>
      <c r="F4" s="44"/>
      <c r="G4" s="44" t="s">
        <v>207</v>
      </c>
      <c r="H4" s="44"/>
      <c r="I4" s="44"/>
      <c r="J4" s="44"/>
      <c r="K4" s="44"/>
    </row>
    <row r="5" spans="1:11" ht="30" customHeight="1" x14ac:dyDescent="0.3">
      <c r="A5" s="2"/>
      <c r="B5" s="2" t="s">
        <v>118</v>
      </c>
      <c r="C5" s="44" t="s">
        <v>289</v>
      </c>
      <c r="D5" s="44"/>
      <c r="E5" s="44" t="s">
        <v>290</v>
      </c>
      <c r="F5" s="44"/>
      <c r="G5" s="2" t="s">
        <v>291</v>
      </c>
      <c r="H5" s="44" t="s">
        <v>289</v>
      </c>
      <c r="I5" s="44"/>
      <c r="J5" s="44" t="s">
        <v>290</v>
      </c>
      <c r="K5" s="44"/>
    </row>
    <row r="6" spans="1:11" ht="30" customHeight="1" x14ac:dyDescent="0.3">
      <c r="A6" s="2"/>
      <c r="B6" s="2"/>
      <c r="C6" s="2" t="s">
        <v>292</v>
      </c>
      <c r="D6" s="2" t="s">
        <v>125</v>
      </c>
      <c r="E6" s="2" t="s">
        <v>293</v>
      </c>
      <c r="F6" s="44" t="s">
        <v>127</v>
      </c>
      <c r="G6" s="44"/>
      <c r="H6" s="2" t="s">
        <v>294</v>
      </c>
      <c r="I6" s="2" t="s">
        <v>295</v>
      </c>
      <c r="J6" s="2" t="s">
        <v>296</v>
      </c>
      <c r="K6" s="2" t="s">
        <v>297</v>
      </c>
    </row>
    <row r="7" spans="1:11" x14ac:dyDescent="0.3">
      <c r="A7" s="13" t="s">
        <v>298</v>
      </c>
      <c r="B7" s="47"/>
      <c r="C7" s="47"/>
      <c r="D7" s="47"/>
      <c r="E7" s="47"/>
      <c r="F7" s="47"/>
      <c r="G7" s="47"/>
      <c r="H7" s="47"/>
      <c r="I7" s="47"/>
      <c r="J7" s="47"/>
      <c r="K7" s="47"/>
    </row>
    <row r="8" spans="1:11" x14ac:dyDescent="0.3">
      <c r="A8" s="9" t="s">
        <v>135</v>
      </c>
      <c r="B8" s="10" t="s">
        <v>136</v>
      </c>
      <c r="C8" s="10" t="s">
        <v>299</v>
      </c>
      <c r="D8" s="10" t="s">
        <v>300</v>
      </c>
      <c r="E8" s="10" t="s">
        <v>301</v>
      </c>
      <c r="F8" s="10" t="s">
        <v>302</v>
      </c>
      <c r="G8" s="10" t="s">
        <v>262</v>
      </c>
      <c r="H8" s="10" t="s">
        <v>303</v>
      </c>
      <c r="I8" s="10" t="s">
        <v>304</v>
      </c>
      <c r="J8" s="10" t="s">
        <v>305</v>
      </c>
      <c r="K8" s="10" t="s">
        <v>306</v>
      </c>
    </row>
    <row r="9" spans="1:11" x14ac:dyDescent="0.3">
      <c r="A9" s="7" t="s">
        <v>137</v>
      </c>
      <c r="B9" s="8" t="s">
        <v>138</v>
      </c>
      <c r="C9" s="8" t="s">
        <v>307</v>
      </c>
      <c r="D9" s="8" t="s">
        <v>149</v>
      </c>
      <c r="E9" s="8" t="s">
        <v>308</v>
      </c>
      <c r="F9" s="8" t="s">
        <v>151</v>
      </c>
      <c r="G9" s="8" t="s">
        <v>264</v>
      </c>
      <c r="H9" s="8" t="s">
        <v>309</v>
      </c>
      <c r="I9" s="8" t="s">
        <v>310</v>
      </c>
      <c r="J9" s="8" t="s">
        <v>311</v>
      </c>
      <c r="K9" s="8" t="s">
        <v>312</v>
      </c>
    </row>
    <row r="10" spans="1:11" x14ac:dyDescent="0.3">
      <c r="A10" s="9" t="s">
        <v>139</v>
      </c>
      <c r="B10" s="10" t="s">
        <v>140</v>
      </c>
      <c r="C10" s="10" t="s">
        <v>313</v>
      </c>
      <c r="D10" s="10" t="s">
        <v>314</v>
      </c>
      <c r="E10" s="10" t="s">
        <v>315</v>
      </c>
      <c r="F10" s="10" t="s">
        <v>156</v>
      </c>
      <c r="G10" s="10" t="s">
        <v>260</v>
      </c>
      <c r="H10" s="10" t="s">
        <v>316</v>
      </c>
      <c r="I10" s="10" t="s">
        <v>317</v>
      </c>
      <c r="J10" s="10" t="s">
        <v>318</v>
      </c>
      <c r="K10" s="10" t="s">
        <v>319</v>
      </c>
    </row>
    <row r="11" spans="1:11" x14ac:dyDescent="0.3">
      <c r="A11" s="13" t="s">
        <v>320</v>
      </c>
      <c r="B11" s="47"/>
      <c r="C11" s="47"/>
      <c r="D11" s="47"/>
      <c r="E11" s="47"/>
      <c r="F11" s="47"/>
      <c r="G11" s="47"/>
      <c r="H11" s="47"/>
      <c r="I11" s="47"/>
      <c r="J11" s="47"/>
      <c r="K11" s="47"/>
    </row>
    <row r="12" spans="1:11" x14ac:dyDescent="0.3">
      <c r="A12" s="9" t="s">
        <v>135</v>
      </c>
      <c r="B12" s="10" t="s">
        <v>181</v>
      </c>
      <c r="C12" s="10" t="s">
        <v>321</v>
      </c>
      <c r="D12" s="10" t="s">
        <v>322</v>
      </c>
      <c r="E12" s="10" t="s">
        <v>323</v>
      </c>
      <c r="F12" s="10" t="s">
        <v>324</v>
      </c>
      <c r="G12" s="10" t="s">
        <v>271</v>
      </c>
      <c r="H12" s="10" t="s">
        <v>325</v>
      </c>
      <c r="I12" s="10" t="s">
        <v>326</v>
      </c>
      <c r="J12" s="10" t="s">
        <v>327</v>
      </c>
      <c r="K12" s="10" t="s">
        <v>328</v>
      </c>
    </row>
    <row r="13" spans="1:11" x14ac:dyDescent="0.3">
      <c r="A13" s="7" t="s">
        <v>137</v>
      </c>
      <c r="B13" s="8" t="s">
        <v>182</v>
      </c>
      <c r="C13" s="8" t="s">
        <v>329</v>
      </c>
      <c r="D13" s="8" t="s">
        <v>270</v>
      </c>
      <c r="E13" s="8" t="s">
        <v>330</v>
      </c>
      <c r="F13" s="8" t="s">
        <v>331</v>
      </c>
      <c r="G13" s="8" t="s">
        <v>276</v>
      </c>
      <c r="H13" s="8" t="s">
        <v>152</v>
      </c>
      <c r="I13" s="8" t="s">
        <v>332</v>
      </c>
      <c r="J13" s="8" t="s">
        <v>333</v>
      </c>
      <c r="K13" s="8" t="s">
        <v>324</v>
      </c>
    </row>
    <row r="14" spans="1:11" x14ac:dyDescent="0.3">
      <c r="A14" s="9" t="s">
        <v>139</v>
      </c>
      <c r="B14" s="10" t="s">
        <v>183</v>
      </c>
      <c r="C14" s="10" t="s">
        <v>334</v>
      </c>
      <c r="D14" s="10" t="s">
        <v>322</v>
      </c>
      <c r="E14" s="10" t="s">
        <v>335</v>
      </c>
      <c r="F14" s="10" t="s">
        <v>336</v>
      </c>
      <c r="G14" s="10" t="s">
        <v>267</v>
      </c>
      <c r="H14" s="10" t="s">
        <v>337</v>
      </c>
      <c r="I14" s="10" t="s">
        <v>156</v>
      </c>
      <c r="J14" s="10" t="s">
        <v>338</v>
      </c>
      <c r="K14" s="10" t="s">
        <v>328</v>
      </c>
    </row>
  </sheetData>
  <mergeCells count="11">
    <mergeCell ref="F6:G6"/>
    <mergeCell ref="B7:K7"/>
    <mergeCell ref="B11:K11"/>
    <mergeCell ref="A1:K1"/>
    <mergeCell ref="A2:K2"/>
    <mergeCell ref="B4:F4"/>
    <mergeCell ref="G4:K4"/>
    <mergeCell ref="C5:D5"/>
    <mergeCell ref="E5:F5"/>
    <mergeCell ref="H5:I5"/>
    <mergeCell ref="J5:K5"/>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47"/>
  <sheetViews>
    <sheetView showGridLines="0" topLeftCell="A21" zoomScaleNormal="100" workbookViewId="0">
      <selection activeCell="F40" sqref="F40"/>
    </sheetView>
  </sheetViews>
  <sheetFormatPr defaultColWidth="8.6640625" defaultRowHeight="14.4" x14ac:dyDescent="0.3"/>
  <cols>
    <col min="1" max="1" width="20" customWidth="1"/>
    <col min="2" max="2" width="14" customWidth="1"/>
    <col min="3" max="3" width="64" customWidth="1"/>
    <col min="4" max="4" width="17.77734375" bestFit="1" customWidth="1"/>
    <col min="5" max="5" width="12" bestFit="1" customWidth="1"/>
    <col min="6" max="6" width="17.77734375" bestFit="1" customWidth="1"/>
    <col min="7" max="7" width="12" bestFit="1" customWidth="1"/>
    <col min="8" max="8" width="12.44140625" bestFit="1" customWidth="1"/>
  </cols>
  <sheetData>
    <row r="1" spans="1:3" ht="25.5" customHeight="1" x14ac:dyDescent="0.3">
      <c r="A1" s="42" t="s">
        <v>339</v>
      </c>
      <c r="B1" s="42"/>
      <c r="C1" s="42"/>
    </row>
    <row r="2" spans="1:3" ht="15.75" customHeight="1" x14ac:dyDescent="0.3">
      <c r="A2" s="43" t="s">
        <v>280</v>
      </c>
      <c r="B2" s="43"/>
      <c r="C2" s="43"/>
    </row>
    <row r="4" spans="1:3" ht="19.5" customHeight="1" x14ac:dyDescent="0.3">
      <c r="A4" s="45" t="s">
        <v>340</v>
      </c>
      <c r="B4" s="45"/>
      <c r="C4" s="45"/>
    </row>
    <row r="5" spans="1:3" x14ac:dyDescent="0.3">
      <c r="A5" s="2" t="s">
        <v>103</v>
      </c>
      <c r="B5" s="2" t="s">
        <v>104</v>
      </c>
      <c r="C5" s="2" t="s">
        <v>105</v>
      </c>
    </row>
    <row r="6" spans="1:3" x14ac:dyDescent="0.3">
      <c r="A6" s="7" t="s">
        <v>341</v>
      </c>
      <c r="B6" s="11">
        <v>9362</v>
      </c>
      <c r="C6" s="11">
        <v>9234</v>
      </c>
    </row>
    <row r="7" spans="1:3" x14ac:dyDescent="0.3">
      <c r="A7" s="9" t="s">
        <v>342</v>
      </c>
      <c r="B7" s="14">
        <v>2080</v>
      </c>
      <c r="C7" s="14">
        <v>1932</v>
      </c>
    </row>
    <row r="8" spans="1:3" x14ac:dyDescent="0.3">
      <c r="A8" s="7" t="s">
        <v>343</v>
      </c>
      <c r="B8" s="11">
        <v>11442</v>
      </c>
      <c r="C8" s="11">
        <v>11166</v>
      </c>
    </row>
    <row r="9" spans="1:3" x14ac:dyDescent="0.3">
      <c r="A9" s="9" t="s">
        <v>344</v>
      </c>
      <c r="B9" s="14">
        <v>10368</v>
      </c>
      <c r="C9" s="14">
        <v>10197</v>
      </c>
    </row>
    <row r="10" spans="1:3" x14ac:dyDescent="0.3">
      <c r="A10" s="7" t="s">
        <v>345</v>
      </c>
      <c r="B10" s="11">
        <v>683</v>
      </c>
      <c r="C10" s="11">
        <v>678</v>
      </c>
    </row>
    <row r="11" spans="1:3" x14ac:dyDescent="0.3">
      <c r="A11" s="9" t="s">
        <v>346</v>
      </c>
      <c r="B11" s="14">
        <v>11051</v>
      </c>
      <c r="C11" s="14">
        <v>10875</v>
      </c>
    </row>
    <row r="13" spans="1:3" ht="19.5" customHeight="1" x14ac:dyDescent="0.3">
      <c r="A13" s="45" t="s">
        <v>347</v>
      </c>
      <c r="B13" s="45"/>
      <c r="C13" s="45"/>
    </row>
    <row r="14" spans="1:3" x14ac:dyDescent="0.3">
      <c r="A14" s="2" t="s">
        <v>103</v>
      </c>
      <c r="B14" s="2" t="s">
        <v>104</v>
      </c>
      <c r="C14" s="2" t="s">
        <v>105</v>
      </c>
    </row>
    <row r="15" spans="1:3" x14ac:dyDescent="0.3">
      <c r="A15" s="7" t="s">
        <v>341</v>
      </c>
      <c r="B15" s="11">
        <v>6541</v>
      </c>
      <c r="C15" s="11">
        <v>3703</v>
      </c>
    </row>
    <row r="16" spans="1:3" x14ac:dyDescent="0.3">
      <c r="A16" s="9" t="s">
        <v>342</v>
      </c>
      <c r="B16" s="14">
        <v>1198</v>
      </c>
      <c r="C16" s="14">
        <v>630</v>
      </c>
    </row>
    <row r="17" spans="1:6" x14ac:dyDescent="0.3">
      <c r="A17" s="7" t="s">
        <v>343</v>
      </c>
      <c r="B17" s="11">
        <v>7739</v>
      </c>
      <c r="C17" s="11">
        <v>4333</v>
      </c>
    </row>
    <row r="18" spans="1:6" x14ac:dyDescent="0.3">
      <c r="A18" s="9" t="s">
        <v>344</v>
      </c>
      <c r="B18" s="14">
        <v>8279</v>
      </c>
      <c r="C18" s="14">
        <v>6015</v>
      </c>
    </row>
    <row r="19" spans="1:6" x14ac:dyDescent="0.3">
      <c r="A19" s="7" t="s">
        <v>345</v>
      </c>
      <c r="B19" s="11">
        <v>615</v>
      </c>
      <c r="C19" s="11">
        <v>636</v>
      </c>
    </row>
    <row r="20" spans="1:6" x14ac:dyDescent="0.3">
      <c r="A20" s="9" t="s">
        <v>346</v>
      </c>
      <c r="B20" s="14">
        <v>8894</v>
      </c>
      <c r="C20" s="14">
        <v>6651</v>
      </c>
    </row>
    <row r="22" spans="1:6" ht="19.5" customHeight="1" x14ac:dyDescent="0.3">
      <c r="A22" s="45" t="s">
        <v>348</v>
      </c>
      <c r="B22" s="45"/>
      <c r="C22" s="45"/>
    </row>
    <row r="23" spans="1:6" x14ac:dyDescent="0.3">
      <c r="A23" s="2" t="s">
        <v>103</v>
      </c>
      <c r="B23" s="2" t="s">
        <v>104</v>
      </c>
      <c r="C23" s="2" t="s">
        <v>105</v>
      </c>
      <c r="D23" s="18" t="s">
        <v>769</v>
      </c>
      <c r="E23" t="s">
        <v>777</v>
      </c>
      <c r="F23" t="s">
        <v>778</v>
      </c>
    </row>
    <row r="24" spans="1:6" x14ac:dyDescent="0.3">
      <c r="A24" s="7" t="s">
        <v>341</v>
      </c>
      <c r="B24" s="12">
        <v>0.7</v>
      </c>
      <c r="C24" s="12">
        <v>0.4</v>
      </c>
      <c r="D24" s="19" t="s">
        <v>342</v>
      </c>
      <c r="E24" s="21">
        <v>0.57999999999999996</v>
      </c>
      <c r="F24" s="21">
        <v>0.33</v>
      </c>
    </row>
    <row r="25" spans="1:6" x14ac:dyDescent="0.3">
      <c r="A25" s="9" t="s">
        <v>342</v>
      </c>
      <c r="B25" s="15">
        <v>0.57999999999999996</v>
      </c>
      <c r="C25" s="15">
        <v>0.33</v>
      </c>
      <c r="D25" s="19" t="s">
        <v>341</v>
      </c>
      <c r="E25" s="21">
        <v>0.7</v>
      </c>
      <c r="F25" s="21">
        <v>0.4</v>
      </c>
    </row>
    <row r="26" spans="1:6" x14ac:dyDescent="0.3">
      <c r="A26" s="7" t="s">
        <v>343</v>
      </c>
      <c r="B26" s="12">
        <v>0.68</v>
      </c>
      <c r="C26" s="12">
        <v>0.39</v>
      </c>
      <c r="D26" s="19" t="s">
        <v>345</v>
      </c>
      <c r="E26" s="21">
        <v>0.9</v>
      </c>
      <c r="F26" s="21">
        <v>0.94</v>
      </c>
    </row>
    <row r="27" spans="1:6" x14ac:dyDescent="0.3">
      <c r="A27" s="9" t="s">
        <v>344</v>
      </c>
      <c r="B27" s="15">
        <v>0.8</v>
      </c>
      <c r="C27" s="15">
        <v>0.59</v>
      </c>
      <c r="D27" s="19" t="s">
        <v>344</v>
      </c>
      <c r="E27" s="21">
        <v>0.8</v>
      </c>
      <c r="F27" s="21">
        <v>0.59</v>
      </c>
    </row>
    <row r="28" spans="1:6" x14ac:dyDescent="0.3">
      <c r="A28" s="7" t="s">
        <v>345</v>
      </c>
      <c r="B28" s="12">
        <v>0.9</v>
      </c>
      <c r="C28" s="12">
        <v>0.94</v>
      </c>
      <c r="D28" s="19" t="s">
        <v>770</v>
      </c>
      <c r="E28" s="21">
        <v>2.9799999999999995</v>
      </c>
      <c r="F28" s="21">
        <v>2.2599999999999998</v>
      </c>
    </row>
    <row r="29" spans="1:6" x14ac:dyDescent="0.3">
      <c r="A29" s="9" t="s">
        <v>346</v>
      </c>
      <c r="B29" s="15">
        <v>0.8</v>
      </c>
      <c r="C29" s="15">
        <v>0.61</v>
      </c>
    </row>
    <row r="31" spans="1:6" ht="19.5" customHeight="1" x14ac:dyDescent="0.3">
      <c r="A31" s="45" t="s">
        <v>349</v>
      </c>
      <c r="B31" s="45"/>
      <c r="C31" s="45"/>
    </row>
    <row r="32" spans="1:6" x14ac:dyDescent="0.3">
      <c r="A32" s="2" t="s">
        <v>103</v>
      </c>
      <c r="B32" s="2" t="s">
        <v>104</v>
      </c>
      <c r="C32" s="2" t="s">
        <v>105</v>
      </c>
    </row>
    <row r="33" spans="1:8" x14ac:dyDescent="0.3">
      <c r="A33" s="7" t="s">
        <v>341</v>
      </c>
      <c r="B33" s="11">
        <v>5941</v>
      </c>
      <c r="C33" s="11">
        <v>6870</v>
      </c>
    </row>
    <row r="34" spans="1:8" x14ac:dyDescent="0.3">
      <c r="A34" s="9" t="s">
        <v>342</v>
      </c>
      <c r="B34" s="14">
        <v>1061</v>
      </c>
      <c r="C34" s="14">
        <v>1467</v>
      </c>
    </row>
    <row r="35" spans="1:8" x14ac:dyDescent="0.3">
      <c r="A35" s="7" t="s">
        <v>343</v>
      </c>
      <c r="B35" s="11">
        <v>7002</v>
      </c>
      <c r="C35" s="11">
        <v>8337</v>
      </c>
    </row>
    <row r="36" spans="1:8" x14ac:dyDescent="0.3">
      <c r="A36" s="9" t="s">
        <v>344</v>
      </c>
      <c r="B36" s="14">
        <v>4363</v>
      </c>
      <c r="C36" s="14">
        <v>4893</v>
      </c>
    </row>
    <row r="37" spans="1:8" x14ac:dyDescent="0.3">
      <c r="A37" s="7" t="s">
        <v>345</v>
      </c>
      <c r="B37" s="11">
        <v>373</v>
      </c>
      <c r="C37" s="11">
        <v>286</v>
      </c>
    </row>
    <row r="38" spans="1:8" x14ac:dyDescent="0.3">
      <c r="A38" s="9" t="s">
        <v>346</v>
      </c>
      <c r="B38" s="14">
        <v>4736</v>
      </c>
      <c r="C38" s="14">
        <v>5179</v>
      </c>
    </row>
    <row r="40" spans="1:8" ht="19.5" customHeight="1" x14ac:dyDescent="0.3">
      <c r="A40" s="45" t="s">
        <v>350</v>
      </c>
      <c r="B40" s="45"/>
      <c r="C40" s="45"/>
      <c r="F40" s="18" t="s">
        <v>769</v>
      </c>
      <c r="G40" t="s">
        <v>777</v>
      </c>
      <c r="H40" t="s">
        <v>778</v>
      </c>
    </row>
    <row r="41" spans="1:8" x14ac:dyDescent="0.3">
      <c r="A41" s="2" t="s">
        <v>103</v>
      </c>
      <c r="B41" s="2" t="s">
        <v>104</v>
      </c>
      <c r="C41" s="2" t="s">
        <v>105</v>
      </c>
      <c r="F41" s="19" t="s">
        <v>342</v>
      </c>
      <c r="G41" s="21">
        <v>0.51</v>
      </c>
      <c r="H41" s="21">
        <v>0.76</v>
      </c>
    </row>
    <row r="42" spans="1:8" x14ac:dyDescent="0.3">
      <c r="A42" s="7" t="s">
        <v>341</v>
      </c>
      <c r="B42" s="12">
        <v>0.63</v>
      </c>
      <c r="C42" s="12">
        <v>0.74</v>
      </c>
      <c r="F42" s="19" t="s">
        <v>341</v>
      </c>
      <c r="G42" s="21">
        <v>0.63</v>
      </c>
      <c r="H42" s="21">
        <v>0.74</v>
      </c>
    </row>
    <row r="43" spans="1:8" x14ac:dyDescent="0.3">
      <c r="A43" s="9" t="s">
        <v>342</v>
      </c>
      <c r="B43" s="15">
        <v>0.51</v>
      </c>
      <c r="C43" s="15">
        <v>0.76</v>
      </c>
      <c r="F43" s="19" t="s">
        <v>345</v>
      </c>
      <c r="G43" s="21">
        <v>0.55000000000000004</v>
      </c>
      <c r="H43" s="21">
        <v>0.42</v>
      </c>
    </row>
    <row r="44" spans="1:8" x14ac:dyDescent="0.3">
      <c r="A44" s="7" t="s">
        <v>343</v>
      </c>
      <c r="B44" s="12">
        <v>0.61</v>
      </c>
      <c r="C44" s="12">
        <v>0.75</v>
      </c>
      <c r="F44" s="19" t="s">
        <v>344</v>
      </c>
      <c r="G44" s="21">
        <v>0.42</v>
      </c>
      <c r="H44" s="21">
        <v>0.48</v>
      </c>
    </row>
    <row r="45" spans="1:8" x14ac:dyDescent="0.3">
      <c r="A45" s="9" t="s">
        <v>344</v>
      </c>
      <c r="B45" s="15">
        <v>0.42</v>
      </c>
      <c r="C45" s="15">
        <v>0.48</v>
      </c>
      <c r="F45" s="19" t="s">
        <v>770</v>
      </c>
      <c r="G45" s="21">
        <v>2.1100000000000003</v>
      </c>
      <c r="H45" s="21">
        <v>2.4</v>
      </c>
    </row>
    <row r="46" spans="1:8" x14ac:dyDescent="0.3">
      <c r="A46" s="7" t="s">
        <v>345</v>
      </c>
      <c r="B46" s="12">
        <v>0.55000000000000004</v>
      </c>
      <c r="C46" s="12">
        <v>0.42</v>
      </c>
    </row>
    <row r="47" spans="1:8" x14ac:dyDescent="0.3">
      <c r="A47" s="9" t="s">
        <v>346</v>
      </c>
      <c r="B47" s="15">
        <v>0.43</v>
      </c>
      <c r="C47" s="15">
        <v>0.48</v>
      </c>
    </row>
  </sheetData>
  <mergeCells count="7">
    <mergeCell ref="A31:C31"/>
    <mergeCell ref="A40:C40"/>
    <mergeCell ref="A1:C1"/>
    <mergeCell ref="A2:C2"/>
    <mergeCell ref="A4:C4"/>
    <mergeCell ref="A13:C13"/>
    <mergeCell ref="A22:C22"/>
  </mergeCells>
  <pageMargins left="0.75" right="0.75" top="1" bottom="1" header="0.511811023622047" footer="0.511811023622047"/>
  <pageSetup paperSize="9" orientation="portrait" horizontalDpi="300" verticalDpi="300"/>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4"/>
  <sheetViews>
    <sheetView showGridLines="0" zoomScaleNormal="100" workbookViewId="0">
      <pane xSplit="1" ySplit="6" topLeftCell="B7" activePane="bottomRight" state="frozen"/>
      <selection pane="topRight" activeCell="B1" sqref="B1"/>
      <selection pane="bottomLeft" activeCell="A7" sqref="A7"/>
      <selection pane="bottomRight" sqref="A1:G1"/>
    </sheetView>
  </sheetViews>
  <sheetFormatPr defaultColWidth="8.6640625" defaultRowHeight="14.4" x14ac:dyDescent="0.3"/>
  <cols>
    <col min="1" max="1" width="30" customWidth="1"/>
    <col min="2" max="2" width="24" customWidth="1"/>
    <col min="3" max="4" width="14" customWidth="1"/>
    <col min="5" max="5" width="25" customWidth="1"/>
    <col min="6" max="7" width="14" customWidth="1"/>
  </cols>
  <sheetData>
    <row r="1" spans="1:7" ht="25.5" customHeight="1" x14ac:dyDescent="0.3">
      <c r="A1" s="42" t="s">
        <v>351</v>
      </c>
      <c r="B1" s="42"/>
      <c r="C1" s="42"/>
      <c r="D1" s="42"/>
      <c r="E1" s="42"/>
      <c r="F1" s="42"/>
      <c r="G1" s="42"/>
    </row>
    <row r="2" spans="1:7" ht="15.75" customHeight="1" x14ac:dyDescent="0.3">
      <c r="A2" s="43" t="s">
        <v>352</v>
      </c>
      <c r="B2" s="43"/>
      <c r="C2" s="43"/>
      <c r="D2" s="43"/>
      <c r="E2" s="43"/>
      <c r="F2" s="43"/>
      <c r="G2" s="43"/>
    </row>
    <row r="4" spans="1:7" ht="30" customHeight="1" x14ac:dyDescent="0.3">
      <c r="A4" s="2" t="s">
        <v>103</v>
      </c>
      <c r="B4" s="44" t="s">
        <v>104</v>
      </c>
      <c r="C4" s="44"/>
      <c r="D4" s="44"/>
      <c r="E4" s="44" t="s">
        <v>105</v>
      </c>
      <c r="F4" s="44"/>
      <c r="G4" s="44"/>
    </row>
    <row r="5" spans="1:7" ht="30" customHeight="1" x14ac:dyDescent="0.3">
      <c r="A5" s="2"/>
      <c r="B5" s="44" t="s">
        <v>353</v>
      </c>
      <c r="C5" s="44"/>
      <c r="D5" s="44"/>
      <c r="E5" s="44" t="s">
        <v>354</v>
      </c>
      <c r="F5" s="44"/>
      <c r="G5" s="44"/>
    </row>
    <row r="6" spans="1:7" ht="30" customHeight="1" x14ac:dyDescent="0.3">
      <c r="A6" s="2"/>
      <c r="B6" s="2" t="s">
        <v>118</v>
      </c>
      <c r="C6" s="2" t="s">
        <v>292</v>
      </c>
      <c r="D6" s="2" t="s">
        <v>125</v>
      </c>
      <c r="E6" s="2" t="s">
        <v>355</v>
      </c>
      <c r="F6" s="2" t="s">
        <v>356</v>
      </c>
      <c r="G6" s="2" t="s">
        <v>256</v>
      </c>
    </row>
    <row r="7" spans="1:7" x14ac:dyDescent="0.3">
      <c r="A7" s="13" t="s">
        <v>298</v>
      </c>
      <c r="B7" s="47"/>
      <c r="C7" s="47"/>
      <c r="D7" s="47"/>
      <c r="E7" s="47"/>
      <c r="F7" s="47"/>
      <c r="G7" s="47"/>
    </row>
    <row r="8" spans="1:7" x14ac:dyDescent="0.3">
      <c r="A8" s="9" t="s">
        <v>135</v>
      </c>
      <c r="B8" s="10" t="s">
        <v>136</v>
      </c>
      <c r="C8" s="10" t="s">
        <v>136</v>
      </c>
      <c r="D8" s="10" t="s">
        <v>111</v>
      </c>
      <c r="E8" s="10" t="s">
        <v>262</v>
      </c>
      <c r="F8" s="10" t="s">
        <v>262</v>
      </c>
      <c r="G8" s="10" t="s">
        <v>111</v>
      </c>
    </row>
    <row r="9" spans="1:7" x14ac:dyDescent="0.3">
      <c r="A9" s="7" t="s">
        <v>137</v>
      </c>
      <c r="B9" s="8" t="s">
        <v>138</v>
      </c>
      <c r="C9" s="8" t="s">
        <v>138</v>
      </c>
      <c r="D9" s="8" t="s">
        <v>111</v>
      </c>
      <c r="E9" s="8" t="s">
        <v>264</v>
      </c>
      <c r="F9" s="8" t="s">
        <v>264</v>
      </c>
      <c r="G9" s="8" t="s">
        <v>111</v>
      </c>
    </row>
    <row r="10" spans="1:7" x14ac:dyDescent="0.3">
      <c r="A10" s="9" t="s">
        <v>139</v>
      </c>
      <c r="B10" s="10" t="s">
        <v>140</v>
      </c>
      <c r="C10" s="10" t="s">
        <v>140</v>
      </c>
      <c r="D10" s="10" t="s">
        <v>111</v>
      </c>
      <c r="E10" s="10" t="s">
        <v>260</v>
      </c>
      <c r="F10" s="10" t="s">
        <v>260</v>
      </c>
      <c r="G10" s="10" t="s">
        <v>111</v>
      </c>
    </row>
    <row r="11" spans="1:7" x14ac:dyDescent="0.3">
      <c r="A11" s="13" t="s">
        <v>320</v>
      </c>
      <c r="B11" s="47"/>
      <c r="C11" s="47"/>
      <c r="D11" s="47"/>
      <c r="E11" s="47"/>
      <c r="F11" s="47"/>
      <c r="G11" s="47"/>
    </row>
    <row r="12" spans="1:7" x14ac:dyDescent="0.3">
      <c r="A12" s="9" t="s">
        <v>135</v>
      </c>
      <c r="B12" s="10" t="s">
        <v>181</v>
      </c>
      <c r="C12" s="10" t="s">
        <v>357</v>
      </c>
      <c r="D12" s="10" t="s">
        <v>358</v>
      </c>
      <c r="E12" s="10" t="s">
        <v>271</v>
      </c>
      <c r="F12" s="10" t="s">
        <v>359</v>
      </c>
      <c r="G12" s="10" t="s">
        <v>360</v>
      </c>
    </row>
    <row r="13" spans="1:7" x14ac:dyDescent="0.3">
      <c r="A13" s="7" t="s">
        <v>137</v>
      </c>
      <c r="B13" s="8" t="s">
        <v>182</v>
      </c>
      <c r="C13" s="8" t="s">
        <v>361</v>
      </c>
      <c r="D13" s="8" t="s">
        <v>233</v>
      </c>
      <c r="E13" s="8" t="s">
        <v>276</v>
      </c>
      <c r="F13" s="8" t="s">
        <v>362</v>
      </c>
      <c r="G13" s="8" t="s">
        <v>233</v>
      </c>
    </row>
    <row r="14" spans="1:7" x14ac:dyDescent="0.3">
      <c r="A14" s="9" t="s">
        <v>139</v>
      </c>
      <c r="B14" s="10" t="s">
        <v>183</v>
      </c>
      <c r="C14" s="10" t="s">
        <v>363</v>
      </c>
      <c r="D14" s="10" t="s">
        <v>322</v>
      </c>
      <c r="E14" s="10" t="s">
        <v>267</v>
      </c>
      <c r="F14" s="10" t="s">
        <v>364</v>
      </c>
      <c r="G14" s="10" t="s">
        <v>365</v>
      </c>
    </row>
  </sheetData>
  <mergeCells count="8">
    <mergeCell ref="B7:G7"/>
    <mergeCell ref="B11:G11"/>
    <mergeCell ref="A1:G1"/>
    <mergeCell ref="A2:G2"/>
    <mergeCell ref="B4:D4"/>
    <mergeCell ref="E4:G4"/>
    <mergeCell ref="B5:D5"/>
    <mergeCell ref="E5:G5"/>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29"/>
  <sheetViews>
    <sheetView showGridLines="0" zoomScaleNormal="100" workbookViewId="0">
      <selection activeCell="D23" sqref="D23"/>
    </sheetView>
  </sheetViews>
  <sheetFormatPr defaultColWidth="8.6640625" defaultRowHeight="14.4" x14ac:dyDescent="0.3"/>
  <cols>
    <col min="1" max="1" width="20" customWidth="1"/>
    <col min="2" max="2" width="14" customWidth="1"/>
    <col min="3" max="3" width="48.5546875" customWidth="1"/>
    <col min="4" max="4" width="17.77734375" bestFit="1" customWidth="1"/>
    <col min="5" max="5" width="12.44140625" bestFit="1" customWidth="1"/>
    <col min="6" max="6" width="12" bestFit="1" customWidth="1"/>
  </cols>
  <sheetData>
    <row r="1" spans="1:3" ht="25.5" customHeight="1" x14ac:dyDescent="0.3">
      <c r="A1" s="42" t="s">
        <v>366</v>
      </c>
      <c r="B1" s="42"/>
      <c r="C1" s="42"/>
    </row>
    <row r="2" spans="1:3" ht="15.75" customHeight="1" x14ac:dyDescent="0.3">
      <c r="A2" s="43" t="s">
        <v>367</v>
      </c>
      <c r="B2" s="43"/>
      <c r="C2" s="43"/>
    </row>
    <row r="4" spans="1:3" ht="19.5" customHeight="1" x14ac:dyDescent="0.3">
      <c r="A4" s="45" t="s">
        <v>340</v>
      </c>
      <c r="B4" s="45"/>
      <c r="C4" s="45"/>
    </row>
    <row r="5" spans="1:3" x14ac:dyDescent="0.3">
      <c r="A5" s="2" t="s">
        <v>103</v>
      </c>
      <c r="B5" s="2" t="s">
        <v>104</v>
      </c>
      <c r="C5" s="2" t="s">
        <v>105</v>
      </c>
    </row>
    <row r="6" spans="1:3" x14ac:dyDescent="0.3">
      <c r="A6" s="7" t="s">
        <v>341</v>
      </c>
      <c r="B6" s="11">
        <v>9362</v>
      </c>
      <c r="C6" s="11">
        <v>9234</v>
      </c>
    </row>
    <row r="7" spans="1:3" x14ac:dyDescent="0.3">
      <c r="A7" s="9" t="s">
        <v>342</v>
      </c>
      <c r="B7" s="14">
        <v>2080</v>
      </c>
      <c r="C7" s="14">
        <v>1932</v>
      </c>
    </row>
    <row r="8" spans="1:3" x14ac:dyDescent="0.3">
      <c r="A8" s="7" t="s">
        <v>343</v>
      </c>
      <c r="B8" s="11">
        <v>11442</v>
      </c>
      <c r="C8" s="11">
        <v>11166</v>
      </c>
    </row>
    <row r="9" spans="1:3" x14ac:dyDescent="0.3">
      <c r="A9" s="9" t="s">
        <v>344</v>
      </c>
      <c r="B9" s="14">
        <v>10368</v>
      </c>
      <c r="C9" s="14">
        <v>10197</v>
      </c>
    </row>
    <row r="10" spans="1:3" x14ac:dyDescent="0.3">
      <c r="A10" s="7" t="s">
        <v>345</v>
      </c>
      <c r="B10" s="11">
        <v>683</v>
      </c>
      <c r="C10" s="11">
        <v>678</v>
      </c>
    </row>
    <row r="11" spans="1:3" x14ac:dyDescent="0.3">
      <c r="A11" s="9" t="s">
        <v>346</v>
      </c>
      <c r="B11" s="14">
        <v>11051</v>
      </c>
      <c r="C11" s="14">
        <v>10875</v>
      </c>
    </row>
    <row r="13" spans="1:3" ht="19.5" customHeight="1" x14ac:dyDescent="0.3">
      <c r="A13" s="45" t="s">
        <v>368</v>
      </c>
      <c r="B13" s="45"/>
      <c r="C13" s="45"/>
    </row>
    <row r="14" spans="1:3" x14ac:dyDescent="0.3">
      <c r="A14" s="2" t="s">
        <v>103</v>
      </c>
      <c r="B14" s="2" t="s">
        <v>104</v>
      </c>
      <c r="C14" s="2" t="s">
        <v>105</v>
      </c>
    </row>
    <row r="15" spans="1:3" x14ac:dyDescent="0.3">
      <c r="A15" s="7" t="s">
        <v>341</v>
      </c>
      <c r="B15" s="11">
        <v>9362</v>
      </c>
      <c r="C15" s="11">
        <v>9234</v>
      </c>
    </row>
    <row r="16" spans="1:3" x14ac:dyDescent="0.3">
      <c r="A16" s="9" t="s">
        <v>342</v>
      </c>
      <c r="B16" s="14">
        <v>2080</v>
      </c>
      <c r="C16" s="14">
        <v>1932</v>
      </c>
    </row>
    <row r="17" spans="1:6" x14ac:dyDescent="0.3">
      <c r="A17" s="7" t="s">
        <v>343</v>
      </c>
      <c r="B17" s="11">
        <v>11442</v>
      </c>
      <c r="C17" s="11">
        <v>11166</v>
      </c>
    </row>
    <row r="18" spans="1:6" x14ac:dyDescent="0.3">
      <c r="A18" s="9" t="s">
        <v>344</v>
      </c>
      <c r="B18" s="14">
        <v>8214</v>
      </c>
      <c r="C18" s="14">
        <v>7863</v>
      </c>
    </row>
    <row r="19" spans="1:6" x14ac:dyDescent="0.3">
      <c r="A19" s="7" t="s">
        <v>345</v>
      </c>
      <c r="B19" s="11">
        <v>668</v>
      </c>
      <c r="C19" s="11">
        <v>665</v>
      </c>
    </row>
    <row r="20" spans="1:6" x14ac:dyDescent="0.3">
      <c r="A20" s="9" t="s">
        <v>346</v>
      </c>
      <c r="B20" s="14">
        <v>8882</v>
      </c>
      <c r="C20" s="14">
        <v>8528</v>
      </c>
    </row>
    <row r="22" spans="1:6" ht="19.5" customHeight="1" x14ac:dyDescent="0.3">
      <c r="A22" s="45" t="s">
        <v>287</v>
      </c>
      <c r="B22" s="45"/>
      <c r="C22" s="45"/>
    </row>
    <row r="23" spans="1:6" x14ac:dyDescent="0.3">
      <c r="A23" s="2" t="s">
        <v>103</v>
      </c>
      <c r="B23" s="2" t="s">
        <v>104</v>
      </c>
      <c r="C23" s="2" t="s">
        <v>105</v>
      </c>
      <c r="D23" s="18" t="s">
        <v>769</v>
      </c>
      <c r="E23" t="s">
        <v>779</v>
      </c>
      <c r="F23" t="s">
        <v>780</v>
      </c>
    </row>
    <row r="24" spans="1:6" x14ac:dyDescent="0.3">
      <c r="A24" s="7" t="s">
        <v>341</v>
      </c>
      <c r="B24" s="12">
        <v>1</v>
      </c>
      <c r="C24" s="12">
        <v>1</v>
      </c>
      <c r="D24" s="19" t="s">
        <v>342</v>
      </c>
      <c r="E24" s="21">
        <v>1</v>
      </c>
      <c r="F24" s="21">
        <v>1</v>
      </c>
    </row>
    <row r="25" spans="1:6" x14ac:dyDescent="0.3">
      <c r="A25" s="9" t="s">
        <v>342</v>
      </c>
      <c r="B25" s="15">
        <v>1</v>
      </c>
      <c r="C25" s="15">
        <v>1</v>
      </c>
      <c r="D25" s="19" t="s">
        <v>341</v>
      </c>
      <c r="E25" s="21">
        <v>1</v>
      </c>
      <c r="F25" s="21">
        <v>1</v>
      </c>
    </row>
    <row r="26" spans="1:6" x14ac:dyDescent="0.3">
      <c r="A26" s="7" t="s">
        <v>343</v>
      </c>
      <c r="B26" s="12">
        <v>1</v>
      </c>
      <c r="C26" s="12">
        <v>1</v>
      </c>
      <c r="D26" s="19" t="s">
        <v>345</v>
      </c>
      <c r="E26" s="21">
        <v>0.98</v>
      </c>
      <c r="F26" s="21">
        <v>0.98</v>
      </c>
    </row>
    <row r="27" spans="1:6" x14ac:dyDescent="0.3">
      <c r="A27" s="9" t="s">
        <v>344</v>
      </c>
      <c r="B27" s="15">
        <v>0.79</v>
      </c>
      <c r="C27" s="15">
        <v>0.77</v>
      </c>
      <c r="D27" s="19" t="s">
        <v>344</v>
      </c>
      <c r="E27" s="21">
        <v>0.79</v>
      </c>
      <c r="F27" s="21">
        <v>0.77</v>
      </c>
    </row>
    <row r="28" spans="1:6" x14ac:dyDescent="0.3">
      <c r="A28" s="7" t="s">
        <v>345</v>
      </c>
      <c r="B28" s="12">
        <v>0.98</v>
      </c>
      <c r="C28" s="12">
        <v>0.98</v>
      </c>
      <c r="D28" s="19" t="s">
        <v>770</v>
      </c>
      <c r="E28" s="21">
        <v>3.77</v>
      </c>
      <c r="F28" s="21">
        <v>3.75</v>
      </c>
    </row>
    <row r="29" spans="1:6" x14ac:dyDescent="0.3">
      <c r="A29" s="9" t="s">
        <v>346</v>
      </c>
      <c r="B29" s="15">
        <v>0.8</v>
      </c>
      <c r="C29" s="15">
        <v>0.78</v>
      </c>
    </row>
  </sheetData>
  <mergeCells count="5">
    <mergeCell ref="A1:C1"/>
    <mergeCell ref="A2:C2"/>
    <mergeCell ref="A4:C4"/>
    <mergeCell ref="A13:C13"/>
    <mergeCell ref="A22:C22"/>
  </mergeCells>
  <pageMargins left="0.75" right="0.75" top="1" bottom="1" header="0.511811023622047" footer="0.511811023622047"/>
  <pageSetup paperSize="9" orientation="portrait" horizontalDpi="300" verticalDpi="30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12"/>
  <sheetViews>
    <sheetView showGridLines="0" zoomScaleNormal="100" workbookViewId="0">
      <pane xSplit="1" ySplit="4" topLeftCell="B5" activePane="bottomRight" state="frozen"/>
      <selection pane="topRight" activeCell="B1" sqref="B1"/>
      <selection pane="bottomLeft" activeCell="A5" sqref="A5"/>
      <selection pane="bottomRight" sqref="A1:D1"/>
    </sheetView>
  </sheetViews>
  <sheetFormatPr defaultColWidth="8.6640625" defaultRowHeight="14.4" x14ac:dyDescent="0.3"/>
  <cols>
    <col min="1" max="1" width="47" customWidth="1"/>
    <col min="2" max="2" width="14" customWidth="1"/>
    <col min="3" max="3" width="37" customWidth="1"/>
    <col min="4" max="4" width="38" customWidth="1"/>
  </cols>
  <sheetData>
    <row r="1" spans="1:4" ht="25.5" customHeight="1" x14ac:dyDescent="0.3">
      <c r="A1" s="42" t="s">
        <v>369</v>
      </c>
      <c r="B1" s="42"/>
      <c r="C1" s="42"/>
      <c r="D1" s="42"/>
    </row>
    <row r="2" spans="1:4" ht="15.75" customHeight="1" x14ac:dyDescent="0.3">
      <c r="A2" s="43" t="s">
        <v>370</v>
      </c>
      <c r="B2" s="43"/>
      <c r="C2" s="43"/>
      <c r="D2" s="43"/>
    </row>
    <row r="4" spans="1:4" ht="30" customHeight="1" x14ac:dyDescent="0.3">
      <c r="A4" s="2" t="s">
        <v>371</v>
      </c>
      <c r="B4" s="2" t="s">
        <v>372</v>
      </c>
      <c r="C4" s="2" t="s">
        <v>206</v>
      </c>
      <c r="D4" s="2" t="s">
        <v>207</v>
      </c>
    </row>
    <row r="5" spans="1:4" ht="26.4" x14ac:dyDescent="0.3">
      <c r="A5" s="7" t="s">
        <v>373</v>
      </c>
      <c r="B5" s="8" t="s">
        <v>298</v>
      </c>
      <c r="C5" s="8" t="s">
        <v>374</v>
      </c>
      <c r="D5" s="8" t="s">
        <v>375</v>
      </c>
    </row>
    <row r="6" spans="1:4" x14ac:dyDescent="0.3">
      <c r="A6" s="9"/>
      <c r="B6" s="10" t="s">
        <v>320</v>
      </c>
      <c r="C6" s="10" t="s">
        <v>376</v>
      </c>
      <c r="D6" s="10" t="s">
        <v>377</v>
      </c>
    </row>
    <row r="7" spans="1:4" x14ac:dyDescent="0.3">
      <c r="A7" s="7" t="s">
        <v>378</v>
      </c>
      <c r="B7" s="8" t="s">
        <v>298</v>
      </c>
      <c r="C7" s="8" t="s">
        <v>379</v>
      </c>
      <c r="D7" s="8" t="s">
        <v>380</v>
      </c>
    </row>
    <row r="8" spans="1:4" x14ac:dyDescent="0.3">
      <c r="A8" s="9"/>
      <c r="B8" s="10" t="s">
        <v>320</v>
      </c>
      <c r="C8" s="10" t="s">
        <v>381</v>
      </c>
      <c r="D8" s="10" t="s">
        <v>382</v>
      </c>
    </row>
    <row r="9" spans="1:4" x14ac:dyDescent="0.3">
      <c r="A9" s="7" t="s">
        <v>383</v>
      </c>
      <c r="B9" s="8" t="s">
        <v>298</v>
      </c>
      <c r="C9" s="8" t="s">
        <v>258</v>
      </c>
      <c r="D9" s="8" t="s">
        <v>258</v>
      </c>
    </row>
    <row r="10" spans="1:4" x14ac:dyDescent="0.3">
      <c r="A10" s="9"/>
      <c r="B10" s="10" t="s">
        <v>320</v>
      </c>
      <c r="C10" s="10" t="s">
        <v>379</v>
      </c>
      <c r="D10" s="10" t="s">
        <v>380</v>
      </c>
    </row>
    <row r="11" spans="1:4" ht="26.4" x14ac:dyDescent="0.3">
      <c r="A11" s="7" t="s">
        <v>384</v>
      </c>
      <c r="B11" s="8" t="s">
        <v>298</v>
      </c>
      <c r="C11" s="8" t="s">
        <v>258</v>
      </c>
      <c r="D11" s="8" t="s">
        <v>258</v>
      </c>
    </row>
    <row r="12" spans="1:4" x14ac:dyDescent="0.3">
      <c r="A12" s="9"/>
      <c r="B12" s="10" t="s">
        <v>320</v>
      </c>
      <c r="C12" s="10" t="s">
        <v>258</v>
      </c>
      <c r="D12" s="10" t="s">
        <v>258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14"/>
  <sheetViews>
    <sheetView showGridLines="0" zoomScaleNormal="100" workbookViewId="0">
      <selection activeCell="E21" sqref="E21"/>
    </sheetView>
  </sheetViews>
  <sheetFormatPr defaultColWidth="8.6640625" defaultRowHeight="14.4" x14ac:dyDescent="0.3"/>
  <cols>
    <col min="1" max="1" width="50" customWidth="1"/>
    <col min="2" max="3" width="14" customWidth="1"/>
    <col min="5" max="5" width="76.77734375" bestFit="1" customWidth="1"/>
    <col min="6" max="7" width="12" bestFit="1" customWidth="1"/>
  </cols>
  <sheetData>
    <row r="1" spans="1:7" ht="25.5" customHeight="1" x14ac:dyDescent="0.3">
      <c r="A1" s="42" t="s">
        <v>385</v>
      </c>
      <c r="B1" s="42"/>
      <c r="C1" s="42"/>
    </row>
    <row r="2" spans="1:7" ht="15.75" customHeight="1" x14ac:dyDescent="0.3">
      <c r="A2" s="43" t="s">
        <v>386</v>
      </c>
      <c r="B2" s="43"/>
      <c r="C2" s="43"/>
    </row>
    <row r="4" spans="1:7" ht="19.5" customHeight="1" x14ac:dyDescent="0.3">
      <c r="A4" s="45" t="s">
        <v>387</v>
      </c>
      <c r="B4" s="45"/>
      <c r="C4" s="45"/>
    </row>
    <row r="5" spans="1:7" x14ac:dyDescent="0.3">
      <c r="A5" s="2" t="s">
        <v>103</v>
      </c>
      <c r="B5" s="2" t="s">
        <v>104</v>
      </c>
      <c r="C5" s="2" t="s">
        <v>105</v>
      </c>
      <c r="E5" s="18" t="s">
        <v>769</v>
      </c>
      <c r="F5" t="s">
        <v>777</v>
      </c>
      <c r="G5" t="s">
        <v>780</v>
      </c>
    </row>
    <row r="6" spans="1:7" ht="26.4" x14ac:dyDescent="0.3">
      <c r="A6" s="7" t="s">
        <v>388</v>
      </c>
      <c r="B6" s="11">
        <v>0.02</v>
      </c>
      <c r="C6" s="11">
        <v>0.04</v>
      </c>
      <c r="E6" s="19" t="s">
        <v>394</v>
      </c>
      <c r="F6" s="20">
        <v>0</v>
      </c>
      <c r="G6" s="20">
        <v>0</v>
      </c>
    </row>
    <row r="7" spans="1:7" ht="26.4" x14ac:dyDescent="0.3">
      <c r="A7" s="9" t="s">
        <v>389</v>
      </c>
      <c r="B7" s="14">
        <v>0.06</v>
      </c>
      <c r="C7" s="14">
        <v>0.16</v>
      </c>
      <c r="E7" s="19" t="s">
        <v>395</v>
      </c>
      <c r="F7" s="20">
        <v>0</v>
      </c>
      <c r="G7" s="20">
        <v>0</v>
      </c>
    </row>
    <row r="8" spans="1:7" x14ac:dyDescent="0.3">
      <c r="A8" s="7" t="s">
        <v>390</v>
      </c>
      <c r="B8" s="11">
        <v>1</v>
      </c>
      <c r="C8" s="11">
        <v>2</v>
      </c>
      <c r="E8" s="19" t="s">
        <v>388</v>
      </c>
      <c r="F8" s="20">
        <v>0.02</v>
      </c>
      <c r="G8" s="20">
        <v>0.04</v>
      </c>
    </row>
    <row r="9" spans="1:7" x14ac:dyDescent="0.3">
      <c r="A9" s="9" t="s">
        <v>391</v>
      </c>
      <c r="B9" s="14">
        <v>4</v>
      </c>
      <c r="C9" s="14">
        <v>11</v>
      </c>
      <c r="E9" s="19" t="s">
        <v>389</v>
      </c>
      <c r="F9" s="20">
        <v>0.06</v>
      </c>
      <c r="G9" s="20">
        <v>0.16</v>
      </c>
    </row>
    <row r="10" spans="1:7" x14ac:dyDescent="0.3">
      <c r="A10" s="7" t="s">
        <v>392</v>
      </c>
      <c r="B10" s="11">
        <v>0</v>
      </c>
      <c r="C10" s="11">
        <v>0</v>
      </c>
      <c r="E10" s="19" t="s">
        <v>392</v>
      </c>
      <c r="F10" s="20">
        <v>0</v>
      </c>
      <c r="G10" s="20">
        <v>0</v>
      </c>
    </row>
    <row r="11" spans="1:7" x14ac:dyDescent="0.3">
      <c r="A11" s="9" t="s">
        <v>393</v>
      </c>
      <c r="B11" s="14">
        <v>1</v>
      </c>
      <c r="C11" s="14">
        <v>2</v>
      </c>
      <c r="E11" s="19" t="s">
        <v>393</v>
      </c>
      <c r="F11" s="20">
        <v>1</v>
      </c>
      <c r="G11" s="20">
        <v>2</v>
      </c>
    </row>
    <row r="12" spans="1:7" ht="26.4" x14ac:dyDescent="0.3">
      <c r="A12" s="7" t="s">
        <v>394</v>
      </c>
      <c r="B12" s="11">
        <v>0</v>
      </c>
      <c r="C12" s="11">
        <v>0</v>
      </c>
      <c r="E12" s="19" t="s">
        <v>390</v>
      </c>
      <c r="F12" s="20">
        <v>1</v>
      </c>
      <c r="G12" s="20">
        <v>2</v>
      </c>
    </row>
    <row r="13" spans="1:7" ht="26.4" x14ac:dyDescent="0.3">
      <c r="A13" s="9" t="s">
        <v>395</v>
      </c>
      <c r="B13" s="14">
        <v>0</v>
      </c>
      <c r="C13" s="14">
        <v>0</v>
      </c>
      <c r="E13" s="19" t="s">
        <v>391</v>
      </c>
      <c r="F13" s="20">
        <v>4</v>
      </c>
      <c r="G13" s="20">
        <v>11</v>
      </c>
    </row>
    <row r="14" spans="1:7" x14ac:dyDescent="0.3">
      <c r="E14" s="19" t="s">
        <v>770</v>
      </c>
      <c r="F14" s="20">
        <v>6.08</v>
      </c>
      <c r="G14" s="20">
        <v>15.2</v>
      </c>
    </row>
  </sheetData>
  <mergeCells count="3">
    <mergeCell ref="A1:C1"/>
    <mergeCell ref="A2:C2"/>
    <mergeCell ref="A4:C4"/>
  </mergeCells>
  <pageMargins left="0.75" right="0.75" top="1" bottom="1" header="0.511811023622047" footer="0.511811023622047"/>
  <pageSetup paperSize="9" orientation="portrait" horizontalDpi="300" verticalDpi="300"/>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7"/>
  <sheetViews>
    <sheetView showGridLines="0"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8.6640625" defaultRowHeight="14.4" x14ac:dyDescent="0.3"/>
  <cols>
    <col min="1" max="1" width="30" customWidth="1"/>
    <col min="2" max="2" width="37" customWidth="1"/>
    <col min="3" max="3" width="39" customWidth="1"/>
    <col min="4" max="4" width="14" customWidth="1"/>
    <col min="5" max="5" width="38" customWidth="1"/>
    <col min="6" max="6" width="39" customWidth="1"/>
    <col min="7" max="7" width="14" customWidth="1"/>
  </cols>
  <sheetData>
    <row r="1" spans="1:7" ht="25.5" customHeight="1" x14ac:dyDescent="0.3">
      <c r="A1" s="42" t="s">
        <v>396</v>
      </c>
      <c r="B1" s="42"/>
      <c r="C1" s="42"/>
      <c r="D1" s="42"/>
      <c r="E1" s="42"/>
      <c r="F1" s="42"/>
      <c r="G1" s="42"/>
    </row>
    <row r="2" spans="1:7" ht="15.75" customHeight="1" x14ac:dyDescent="0.3">
      <c r="A2" s="43" t="s">
        <v>370</v>
      </c>
      <c r="B2" s="43"/>
      <c r="C2" s="43"/>
      <c r="D2" s="43"/>
      <c r="E2" s="43"/>
      <c r="F2" s="43"/>
      <c r="G2" s="43"/>
    </row>
    <row r="4" spans="1:7" ht="30" customHeight="1" x14ac:dyDescent="0.3">
      <c r="A4" s="2"/>
      <c r="B4" s="44" t="s">
        <v>206</v>
      </c>
      <c r="C4" s="44"/>
      <c r="D4" s="44"/>
      <c r="E4" s="44" t="s">
        <v>207</v>
      </c>
      <c r="F4" s="44"/>
      <c r="G4" s="44"/>
    </row>
    <row r="5" spans="1:7" ht="30" customHeight="1" x14ac:dyDescent="0.3">
      <c r="A5" s="2"/>
      <c r="B5" s="2" t="s">
        <v>397</v>
      </c>
      <c r="C5" s="2" t="s">
        <v>398</v>
      </c>
      <c r="D5" s="2" t="s">
        <v>399</v>
      </c>
      <c r="E5" s="2" t="s">
        <v>397</v>
      </c>
      <c r="F5" s="2" t="s">
        <v>398</v>
      </c>
      <c r="G5" s="2" t="s">
        <v>399</v>
      </c>
    </row>
    <row r="6" spans="1:7" x14ac:dyDescent="0.3">
      <c r="A6" s="7" t="s">
        <v>400</v>
      </c>
      <c r="B6" s="8" t="s">
        <v>258</v>
      </c>
      <c r="C6" s="8" t="s">
        <v>258</v>
      </c>
      <c r="D6" s="8" t="s">
        <v>91</v>
      </c>
      <c r="E6" s="8" t="s">
        <v>258</v>
      </c>
      <c r="F6" s="8" t="s">
        <v>258</v>
      </c>
      <c r="G6" s="8" t="s">
        <v>91</v>
      </c>
    </row>
    <row r="7" spans="1:7" x14ac:dyDescent="0.3">
      <c r="A7" s="9" t="s">
        <v>401</v>
      </c>
      <c r="B7" s="10" t="s">
        <v>258</v>
      </c>
      <c r="C7" s="10" t="s">
        <v>258</v>
      </c>
      <c r="D7" s="10" t="s">
        <v>91</v>
      </c>
      <c r="E7" s="10" t="s">
        <v>258</v>
      </c>
      <c r="F7" s="10" t="s">
        <v>258</v>
      </c>
      <c r="G7" s="10" t="s">
        <v>91</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2"/>
  <sheetViews>
    <sheetView showGridLines="0" zoomScaleNormal="100" workbookViewId="0">
      <selection sqref="A1:C1"/>
    </sheetView>
  </sheetViews>
  <sheetFormatPr defaultColWidth="8.6640625" defaultRowHeight="14.4" x14ac:dyDescent="0.3"/>
  <cols>
    <col min="1" max="1" width="20" customWidth="1"/>
    <col min="2" max="3" width="14" customWidth="1"/>
  </cols>
  <sheetData>
    <row r="1" spans="1:3" ht="25.5" customHeight="1" x14ac:dyDescent="0.3">
      <c r="A1" s="42" t="s">
        <v>402</v>
      </c>
      <c r="B1" s="42"/>
      <c r="C1" s="42"/>
    </row>
    <row r="2" spans="1:3" ht="15.75" customHeight="1" x14ac:dyDescent="0.3">
      <c r="A2" s="43" t="s">
        <v>386</v>
      </c>
      <c r="B2" s="43"/>
      <c r="C2" s="43"/>
    </row>
    <row r="4" spans="1:3" ht="19.5" customHeight="1" x14ac:dyDescent="0.3">
      <c r="A4" s="45" t="s">
        <v>403</v>
      </c>
      <c r="B4" s="45"/>
      <c r="C4" s="45"/>
    </row>
    <row r="5" spans="1:3" x14ac:dyDescent="0.3">
      <c r="A5" s="2" t="s">
        <v>103</v>
      </c>
      <c r="B5" s="2" t="s">
        <v>104</v>
      </c>
      <c r="C5" s="2" t="s">
        <v>105</v>
      </c>
    </row>
    <row r="6" spans="1:3" x14ac:dyDescent="0.3">
      <c r="A6" s="7" t="s">
        <v>400</v>
      </c>
      <c r="B6" s="11">
        <v>0</v>
      </c>
      <c r="C6" s="11">
        <v>0</v>
      </c>
    </row>
    <row r="7" spans="1:3" x14ac:dyDescent="0.3">
      <c r="A7" s="9" t="s">
        <v>401</v>
      </c>
      <c r="B7" s="14">
        <v>0</v>
      </c>
      <c r="C7" s="14">
        <v>0</v>
      </c>
    </row>
    <row r="9" spans="1:3" ht="19.5" customHeight="1" x14ac:dyDescent="0.3">
      <c r="A9" s="45" t="s">
        <v>404</v>
      </c>
      <c r="B9" s="45"/>
      <c r="C9" s="45"/>
    </row>
    <row r="10" spans="1:3" x14ac:dyDescent="0.3">
      <c r="A10" s="2" t="s">
        <v>103</v>
      </c>
      <c r="B10" s="2" t="s">
        <v>104</v>
      </c>
      <c r="C10" s="2" t="s">
        <v>105</v>
      </c>
    </row>
    <row r="11" spans="1:3" x14ac:dyDescent="0.3">
      <c r="A11" s="7" t="s">
        <v>400</v>
      </c>
      <c r="B11" s="11">
        <v>0</v>
      </c>
      <c r="C11" s="11">
        <v>0</v>
      </c>
    </row>
    <row r="12" spans="1:3" x14ac:dyDescent="0.3">
      <c r="A12" s="9" t="s">
        <v>401</v>
      </c>
      <c r="B12" s="14">
        <v>0</v>
      </c>
      <c r="C12" s="14">
        <v>0</v>
      </c>
    </row>
  </sheetData>
  <mergeCells count="4">
    <mergeCell ref="A1:C1"/>
    <mergeCell ref="A2:C2"/>
    <mergeCell ref="A4:C4"/>
    <mergeCell ref="A9:C9"/>
  </mergeCells>
  <pageMargins left="0.75" right="0.75" top="1" bottom="1"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6"/>
  <sheetViews>
    <sheetView showGridLines="0" zoomScaleNormal="100" workbookViewId="0">
      <pane xSplit="1" ySplit="4" topLeftCell="B5" activePane="bottomRight" state="frozen"/>
      <selection pane="topRight" activeCell="B1" sqref="B1"/>
      <selection pane="bottomLeft" activeCell="A5" sqref="A5"/>
      <selection pane="bottomRight" sqref="A1:B1"/>
    </sheetView>
  </sheetViews>
  <sheetFormatPr defaultColWidth="8.6640625" defaultRowHeight="14.4" x14ac:dyDescent="0.3"/>
  <cols>
    <col min="1" max="1" width="30" customWidth="1"/>
    <col min="2" max="2" width="47" customWidth="1"/>
  </cols>
  <sheetData>
    <row r="1" spans="1:2" ht="25.5" customHeight="1" x14ac:dyDescent="0.3">
      <c r="A1" s="42" t="s">
        <v>405</v>
      </c>
      <c r="B1" s="42"/>
    </row>
    <row r="2" spans="1:2" ht="15.75" customHeight="1" x14ac:dyDescent="0.3">
      <c r="A2" s="43" t="s">
        <v>370</v>
      </c>
      <c r="B2" s="43"/>
    </row>
    <row r="4" spans="1:2" ht="30" customHeight="1" x14ac:dyDescent="0.3">
      <c r="A4" s="2"/>
      <c r="B4" s="2" t="s">
        <v>406</v>
      </c>
    </row>
    <row r="5" spans="1:2" x14ac:dyDescent="0.3">
      <c r="A5" s="7" t="s">
        <v>407</v>
      </c>
      <c r="B5" s="8" t="s">
        <v>111</v>
      </c>
    </row>
    <row r="6" spans="1:2" x14ac:dyDescent="0.3">
      <c r="A6" s="9" t="s">
        <v>400</v>
      </c>
      <c r="B6" s="10" t="s">
        <v>111</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7"/>
  <sheetViews>
    <sheetView showGridLines="0" zoomScaleNormal="100" workbookViewId="0">
      <selection sqref="A1:B1"/>
    </sheetView>
  </sheetViews>
  <sheetFormatPr defaultColWidth="8.6640625" defaultRowHeight="14.4" x14ac:dyDescent="0.3"/>
  <cols>
    <col min="1" max="1" width="29" customWidth="1"/>
    <col min="2" max="2" width="14" customWidth="1"/>
  </cols>
  <sheetData>
    <row r="1" spans="1:2" ht="25.5" customHeight="1" x14ac:dyDescent="0.3">
      <c r="A1" s="42" t="s">
        <v>408</v>
      </c>
      <c r="B1" s="42"/>
    </row>
    <row r="2" spans="1:2" ht="15.75" customHeight="1" x14ac:dyDescent="0.3">
      <c r="A2" s="43" t="s">
        <v>386</v>
      </c>
      <c r="B2" s="43"/>
    </row>
    <row r="4" spans="1:2" ht="19.5" customHeight="1" x14ac:dyDescent="0.3">
      <c r="A4" s="45" t="s">
        <v>409</v>
      </c>
      <c r="B4" s="45"/>
    </row>
    <row r="5" spans="1:2" x14ac:dyDescent="0.3">
      <c r="A5" s="2" t="s">
        <v>103</v>
      </c>
      <c r="B5" s="2" t="s">
        <v>114</v>
      </c>
    </row>
    <row r="6" spans="1:2" x14ac:dyDescent="0.3">
      <c r="A6" s="7" t="s">
        <v>407</v>
      </c>
      <c r="B6" s="12">
        <v>1</v>
      </c>
    </row>
    <row r="7" spans="1:2" x14ac:dyDescent="0.3">
      <c r="A7" s="9" t="s">
        <v>400</v>
      </c>
      <c r="B7" s="15">
        <v>1</v>
      </c>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7"/>
  <sheetViews>
    <sheetView showGridLines="0" zoomScaleNormal="100" workbookViewId="0">
      <pane xSplit="1" ySplit="5" topLeftCell="B6" activePane="bottomRight" state="frozen"/>
      <selection pane="topRight" activeCell="B1" sqref="B1"/>
      <selection pane="bottomLeft" activeCell="A6" sqref="A6"/>
      <selection pane="bottomRight" sqref="A1:E1"/>
    </sheetView>
  </sheetViews>
  <sheetFormatPr defaultColWidth="8.6640625" defaultRowHeight="14.4" x14ac:dyDescent="0.3"/>
  <cols>
    <col min="1" max="1" width="30" customWidth="1"/>
    <col min="2" max="2" width="42" customWidth="1"/>
    <col min="3" max="3" width="38" customWidth="1"/>
    <col min="4" max="4" width="47" customWidth="1"/>
    <col min="5" max="5" width="38" customWidth="1"/>
  </cols>
  <sheetData>
    <row r="1" spans="1:5" ht="25.5" customHeight="1" x14ac:dyDescent="0.3">
      <c r="A1" s="42" t="s">
        <v>410</v>
      </c>
      <c r="B1" s="42"/>
      <c r="C1" s="42"/>
      <c r="D1" s="42"/>
      <c r="E1" s="42"/>
    </row>
    <row r="2" spans="1:5" ht="15.75" customHeight="1" x14ac:dyDescent="0.3">
      <c r="A2" s="43" t="s">
        <v>411</v>
      </c>
      <c r="B2" s="43"/>
      <c r="C2" s="43"/>
      <c r="D2" s="43"/>
      <c r="E2" s="43"/>
    </row>
    <row r="4" spans="1:5" ht="30" customHeight="1" x14ac:dyDescent="0.3">
      <c r="A4" s="2"/>
      <c r="B4" s="44" t="s">
        <v>412</v>
      </c>
      <c r="C4" s="44"/>
      <c r="D4" s="44" t="s">
        <v>413</v>
      </c>
      <c r="E4" s="44"/>
    </row>
    <row r="5" spans="1:5" ht="30" customHeight="1" x14ac:dyDescent="0.3">
      <c r="A5" s="2"/>
      <c r="B5" s="2" t="s">
        <v>206</v>
      </c>
      <c r="C5" s="2" t="s">
        <v>207</v>
      </c>
      <c r="D5" s="2" t="s">
        <v>206</v>
      </c>
      <c r="E5" s="2" t="s">
        <v>207</v>
      </c>
    </row>
    <row r="6" spans="1:5" x14ac:dyDescent="0.3">
      <c r="A6" s="7" t="s">
        <v>298</v>
      </c>
      <c r="B6" s="8" t="s">
        <v>258</v>
      </c>
      <c r="C6" s="8" t="s">
        <v>258</v>
      </c>
      <c r="D6" s="8" t="s">
        <v>258</v>
      </c>
      <c r="E6" s="8" t="s">
        <v>258</v>
      </c>
    </row>
    <row r="7" spans="1:5" x14ac:dyDescent="0.3">
      <c r="A7" s="9" t="s">
        <v>320</v>
      </c>
      <c r="B7" s="10" t="s">
        <v>379</v>
      </c>
      <c r="C7" s="10" t="s">
        <v>380</v>
      </c>
      <c r="D7" s="10" t="s">
        <v>379</v>
      </c>
      <c r="E7" s="10" t="s">
        <v>380</v>
      </c>
    </row>
  </sheetData>
  <mergeCells count="4">
    <mergeCell ref="A1:E1"/>
    <mergeCell ref="A2:E2"/>
    <mergeCell ref="B4:C4"/>
    <mergeCell ref="D4:E4"/>
  </mergeCell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2"/>
  <sheetViews>
    <sheetView showGridLines="0" zoomScaleNormal="100" workbookViewId="0">
      <selection sqref="A1:C1"/>
    </sheetView>
  </sheetViews>
  <sheetFormatPr defaultColWidth="8.6640625" defaultRowHeight="14.4" x14ac:dyDescent="0.3"/>
  <cols>
    <col min="1" max="1" width="18" customWidth="1"/>
    <col min="2" max="3" width="14" customWidth="1"/>
  </cols>
  <sheetData>
    <row r="1" spans="1:3" ht="25.5" customHeight="1" x14ac:dyDescent="0.3">
      <c r="A1" s="42" t="s">
        <v>414</v>
      </c>
      <c r="B1" s="42"/>
      <c r="C1" s="42"/>
    </row>
    <row r="2" spans="1:3" ht="15.75" customHeight="1" x14ac:dyDescent="0.3">
      <c r="A2" s="43" t="s">
        <v>415</v>
      </c>
      <c r="B2" s="43"/>
      <c r="C2" s="43"/>
    </row>
    <row r="4" spans="1:3" ht="19.5" customHeight="1" x14ac:dyDescent="0.3">
      <c r="A4" s="45" t="s">
        <v>416</v>
      </c>
      <c r="B4" s="45"/>
      <c r="C4" s="45"/>
    </row>
    <row r="5" spans="1:3" x14ac:dyDescent="0.3">
      <c r="A5" s="2" t="s">
        <v>103</v>
      </c>
      <c r="B5" s="2" t="s">
        <v>104</v>
      </c>
      <c r="C5" s="2" t="s">
        <v>105</v>
      </c>
    </row>
    <row r="6" spans="1:3" x14ac:dyDescent="0.3">
      <c r="A6" s="7" t="s">
        <v>298</v>
      </c>
      <c r="B6" s="11">
        <v>0</v>
      </c>
      <c r="C6" s="11">
        <v>0</v>
      </c>
    </row>
    <row r="7" spans="1:3" x14ac:dyDescent="0.3">
      <c r="A7" s="9" t="s">
        <v>320</v>
      </c>
      <c r="B7" s="14">
        <v>1</v>
      </c>
      <c r="C7" s="14">
        <v>2</v>
      </c>
    </row>
    <row r="9" spans="1:3" ht="19.5" customHeight="1" x14ac:dyDescent="0.3">
      <c r="A9" s="45" t="s">
        <v>417</v>
      </c>
      <c r="B9" s="45"/>
      <c r="C9" s="45"/>
    </row>
    <row r="10" spans="1:3" x14ac:dyDescent="0.3">
      <c r="A10" s="2" t="s">
        <v>103</v>
      </c>
      <c r="B10" s="2" t="s">
        <v>104</v>
      </c>
      <c r="C10" s="2" t="s">
        <v>105</v>
      </c>
    </row>
    <row r="11" spans="1:3" x14ac:dyDescent="0.3">
      <c r="A11" s="7" t="s">
        <v>298</v>
      </c>
      <c r="B11" s="11">
        <v>0</v>
      </c>
      <c r="C11" s="11">
        <v>0</v>
      </c>
    </row>
    <row r="12" spans="1:3" x14ac:dyDescent="0.3">
      <c r="A12" s="9" t="s">
        <v>320</v>
      </c>
      <c r="B12" s="14">
        <v>1</v>
      </c>
      <c r="C12" s="14">
        <v>2</v>
      </c>
    </row>
  </sheetData>
  <mergeCells count="4">
    <mergeCell ref="A1:C1"/>
    <mergeCell ref="A2:C2"/>
    <mergeCell ref="A4:C4"/>
    <mergeCell ref="A9:C9"/>
  </mergeCells>
  <pageMargins left="0.75" right="0.75" top="1" bottom="1"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6"/>
  <sheetViews>
    <sheetView showGridLines="0" zoomScaleNormal="100" workbookViewId="0">
      <pane xSplit="1" ySplit="4" topLeftCell="B5" activePane="bottomRight" state="frozen"/>
      <selection pane="topRight" activeCell="B1" sqref="B1"/>
      <selection pane="bottomLeft" activeCell="A5" sqref="A5"/>
      <selection pane="bottomRight" sqref="A1:B1"/>
    </sheetView>
  </sheetViews>
  <sheetFormatPr defaultColWidth="8.6640625" defaultRowHeight="14.4" x14ac:dyDescent="0.3"/>
  <cols>
    <col min="1" max="2" width="47" customWidth="1"/>
  </cols>
  <sheetData>
    <row r="1" spans="1:2" ht="25.5" customHeight="1" x14ac:dyDescent="0.3">
      <c r="A1" s="42" t="s">
        <v>418</v>
      </c>
      <c r="B1" s="42"/>
    </row>
    <row r="2" spans="1:2" ht="15.75" customHeight="1" x14ac:dyDescent="0.3">
      <c r="A2" s="43" t="s">
        <v>419</v>
      </c>
      <c r="B2" s="43"/>
    </row>
    <row r="4" spans="1:2" ht="30" customHeight="1" x14ac:dyDescent="0.3">
      <c r="A4" s="44" t="s">
        <v>420</v>
      </c>
      <c r="B4" s="44"/>
    </row>
    <row r="5" spans="1:2" ht="30" customHeight="1" x14ac:dyDescent="0.3">
      <c r="A5" s="7" t="s">
        <v>407</v>
      </c>
      <c r="B5" s="16" t="s">
        <v>421</v>
      </c>
    </row>
    <row r="6" spans="1:2" x14ac:dyDescent="0.3">
      <c r="A6" s="13" t="s">
        <v>400</v>
      </c>
      <c r="B6" s="1"/>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6"/>
  <sheetViews>
    <sheetView showGridLines="0" zoomScaleNormal="100" workbookViewId="0">
      <selection sqref="A1:B1"/>
    </sheetView>
  </sheetViews>
  <sheetFormatPr defaultColWidth="8.6640625" defaultRowHeight="14.4" x14ac:dyDescent="0.3"/>
  <cols>
    <col min="1" max="1" width="29" customWidth="1"/>
    <col min="2" max="2" width="14" customWidth="1"/>
  </cols>
  <sheetData>
    <row r="1" spans="1:2" ht="25.5" customHeight="1" x14ac:dyDescent="0.3">
      <c r="A1" s="42" t="s">
        <v>422</v>
      </c>
      <c r="B1" s="42"/>
    </row>
    <row r="2" spans="1:2" ht="15.75" customHeight="1" x14ac:dyDescent="0.3">
      <c r="A2" s="43" t="s">
        <v>423</v>
      </c>
      <c r="B2" s="43"/>
    </row>
    <row r="4" spans="1:2" ht="19.5" customHeight="1" x14ac:dyDescent="0.3">
      <c r="A4" s="45" t="s">
        <v>424</v>
      </c>
      <c r="B4" s="45"/>
    </row>
    <row r="5" spans="1:2" x14ac:dyDescent="0.3">
      <c r="A5" s="2" t="s">
        <v>103</v>
      </c>
      <c r="B5" s="2" t="s">
        <v>114</v>
      </c>
    </row>
    <row r="6" spans="1:2" x14ac:dyDescent="0.3">
      <c r="A6" s="7" t="s">
        <v>407</v>
      </c>
      <c r="B6" s="12">
        <v>0.13</v>
      </c>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3"/>
  <sheetViews>
    <sheetView showGridLines="0" zoomScaleNormal="100" workbookViewId="0">
      <selection sqref="A1:F3"/>
    </sheetView>
  </sheetViews>
  <sheetFormatPr defaultColWidth="8.6640625" defaultRowHeight="14.4" x14ac:dyDescent="0.3"/>
  <cols>
    <col min="1" max="6" width="18" customWidth="1"/>
  </cols>
  <sheetData>
    <row r="1" spans="1:6" ht="60" customHeight="1" x14ac:dyDescent="0.3">
      <c r="A1" s="46" t="s">
        <v>48</v>
      </c>
      <c r="B1" s="46"/>
      <c r="C1" s="46"/>
      <c r="D1" s="46"/>
      <c r="E1" s="46"/>
      <c r="F1" s="46"/>
    </row>
    <row r="2" spans="1:6" x14ac:dyDescent="0.3">
      <c r="A2" s="46"/>
      <c r="B2" s="46"/>
      <c r="C2" s="46"/>
      <c r="D2" s="46"/>
      <c r="E2" s="46"/>
      <c r="F2" s="46"/>
    </row>
    <row r="3" spans="1:6" x14ac:dyDescent="0.3">
      <c r="A3" s="46"/>
      <c r="B3" s="46"/>
      <c r="C3" s="46"/>
      <c r="D3" s="46"/>
      <c r="E3" s="46"/>
      <c r="F3" s="46"/>
    </row>
  </sheetData>
  <mergeCells count="1">
    <mergeCell ref="A1:F3"/>
  </mergeCells>
  <pageMargins left="0.75" right="0.75" top="1" bottom="1" header="0.511811023622047" footer="0.511811023622047"/>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13"/>
  <sheetViews>
    <sheetView showGridLines="0" zoomScaleNormal="100" workbookViewId="0">
      <pane xSplit="1" ySplit="4" topLeftCell="B5" activePane="bottomRight" state="frozen"/>
      <selection pane="topRight" activeCell="B1" sqref="B1"/>
      <selection pane="bottomLeft" activeCell="A5" sqref="A5"/>
      <selection pane="bottomRight" sqref="A1:E1"/>
    </sheetView>
  </sheetViews>
  <sheetFormatPr defaultColWidth="8.6640625" defaultRowHeight="14.4" x14ac:dyDescent="0.3"/>
  <cols>
    <col min="1" max="1" width="39" customWidth="1"/>
    <col min="2" max="5" width="47" customWidth="1"/>
  </cols>
  <sheetData>
    <row r="1" spans="1:5" ht="25.5" customHeight="1" x14ac:dyDescent="0.3">
      <c r="A1" s="42" t="s">
        <v>425</v>
      </c>
      <c r="B1" s="42"/>
      <c r="C1" s="42"/>
      <c r="D1" s="42"/>
      <c r="E1" s="42"/>
    </row>
    <row r="2" spans="1:5" ht="15.75" customHeight="1" x14ac:dyDescent="0.3">
      <c r="A2" s="43" t="s">
        <v>426</v>
      </c>
      <c r="B2" s="43"/>
      <c r="C2" s="43"/>
      <c r="D2" s="43"/>
      <c r="E2" s="43"/>
    </row>
    <row r="4" spans="1:5" ht="30" customHeight="1" x14ac:dyDescent="0.3">
      <c r="A4" s="2" t="s">
        <v>427</v>
      </c>
      <c r="B4" s="2" t="s">
        <v>428</v>
      </c>
      <c r="C4" s="2" t="s">
        <v>429</v>
      </c>
      <c r="D4" s="2" t="s">
        <v>430</v>
      </c>
      <c r="E4" s="2" t="s">
        <v>431</v>
      </c>
    </row>
    <row r="5" spans="1:5" ht="45" customHeight="1" x14ac:dyDescent="0.3">
      <c r="A5" s="7" t="s">
        <v>432</v>
      </c>
      <c r="B5" s="8" t="s">
        <v>433</v>
      </c>
      <c r="C5" s="16" t="s">
        <v>434</v>
      </c>
      <c r="D5" s="8"/>
      <c r="E5" s="8"/>
    </row>
    <row r="6" spans="1:5" x14ac:dyDescent="0.3">
      <c r="A6" s="9" t="s">
        <v>435</v>
      </c>
      <c r="B6" s="10" t="s">
        <v>433</v>
      </c>
      <c r="C6" s="10"/>
      <c r="D6" s="10"/>
      <c r="E6" s="10"/>
    </row>
    <row r="7" spans="1:5" x14ac:dyDescent="0.3">
      <c r="A7" s="7" t="s">
        <v>436</v>
      </c>
      <c r="B7" s="8" t="s">
        <v>433</v>
      </c>
      <c r="C7" s="8"/>
      <c r="D7" s="8"/>
      <c r="E7" s="8"/>
    </row>
    <row r="8" spans="1:5" x14ac:dyDescent="0.3">
      <c r="A8" s="9" t="s">
        <v>298</v>
      </c>
      <c r="B8" s="10" t="s">
        <v>433</v>
      </c>
      <c r="C8" s="10"/>
      <c r="D8" s="10"/>
      <c r="E8" s="10"/>
    </row>
    <row r="9" spans="1:5" x14ac:dyDescent="0.3">
      <c r="A9" s="7" t="s">
        <v>437</v>
      </c>
      <c r="B9" s="8" t="s">
        <v>438</v>
      </c>
      <c r="C9" s="8"/>
      <c r="D9" s="8"/>
      <c r="E9" s="8"/>
    </row>
    <row r="10" spans="1:5" x14ac:dyDescent="0.3">
      <c r="A10" s="9" t="s">
        <v>439</v>
      </c>
      <c r="B10" s="10" t="s">
        <v>433</v>
      </c>
      <c r="C10" s="10"/>
      <c r="D10" s="10"/>
      <c r="E10" s="10"/>
    </row>
    <row r="11" spans="1:5" x14ac:dyDescent="0.3">
      <c r="A11" s="7" t="s">
        <v>440</v>
      </c>
      <c r="B11" s="8" t="s">
        <v>433</v>
      </c>
      <c r="C11" s="8"/>
      <c r="D11" s="8"/>
      <c r="E11" s="8"/>
    </row>
    <row r="12" spans="1:5" x14ac:dyDescent="0.3">
      <c r="A12" s="9" t="s">
        <v>441</v>
      </c>
      <c r="B12" s="10" t="s">
        <v>433</v>
      </c>
      <c r="C12" s="10"/>
      <c r="D12" s="10"/>
      <c r="E12" s="10"/>
    </row>
    <row r="13" spans="1:5" x14ac:dyDescent="0.3">
      <c r="A13" s="7" t="s">
        <v>442</v>
      </c>
      <c r="B13" s="8" t="s">
        <v>438</v>
      </c>
      <c r="C13" s="8"/>
      <c r="D13" s="8"/>
      <c r="E13" s="8"/>
    </row>
  </sheetData>
  <mergeCells count="2">
    <mergeCell ref="A1:E1"/>
    <mergeCell ref="A2:E2"/>
  </mergeCells>
  <pageMargins left="0.75" right="0.75" top="1" bottom="1" header="0.511811023622047" footer="0.511811023622047"/>
  <pageSetup paperSize="9"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3"/>
  <sheetViews>
    <sheetView showGridLines="0" zoomScaleNormal="100" workbookViewId="0">
      <selection sqref="A1:F3"/>
    </sheetView>
  </sheetViews>
  <sheetFormatPr defaultColWidth="8.6640625" defaultRowHeight="14.4" x14ac:dyDescent="0.3"/>
  <cols>
    <col min="1" max="6" width="18" customWidth="1"/>
  </cols>
  <sheetData>
    <row r="1" spans="1:6" ht="60" customHeight="1" x14ac:dyDescent="0.3">
      <c r="A1" s="46" t="s">
        <v>52</v>
      </c>
      <c r="B1" s="46"/>
      <c r="C1" s="46"/>
      <c r="D1" s="46"/>
      <c r="E1" s="46"/>
      <c r="F1" s="46"/>
    </row>
    <row r="2" spans="1:6" x14ac:dyDescent="0.3">
      <c r="A2" s="46"/>
      <c r="B2" s="46"/>
      <c r="C2" s="46"/>
      <c r="D2" s="46"/>
      <c r="E2" s="46"/>
      <c r="F2" s="46"/>
    </row>
    <row r="3" spans="1:6" x14ac:dyDescent="0.3">
      <c r="A3" s="46"/>
      <c r="B3" s="46"/>
      <c r="C3" s="46"/>
      <c r="D3" s="46"/>
      <c r="E3" s="46"/>
      <c r="F3" s="46"/>
    </row>
  </sheetData>
  <mergeCells count="1">
    <mergeCell ref="A1:F3"/>
  </mergeCells>
  <pageMargins left="0.75" right="0.75" top="1" bottom="1" header="0.511811023622047" footer="0.511811023622047"/>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13"/>
  <sheetViews>
    <sheetView showGridLines="0"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8.6640625" defaultRowHeight="14.4" x14ac:dyDescent="0.3"/>
  <cols>
    <col min="1" max="1" width="30" customWidth="1"/>
    <col min="2" max="2" width="37" customWidth="1"/>
    <col min="3" max="3" width="39" customWidth="1"/>
    <col min="4" max="4" width="14" customWidth="1"/>
    <col min="5" max="5" width="38" customWidth="1"/>
    <col min="6" max="6" width="39" customWidth="1"/>
    <col min="7" max="7" width="14" customWidth="1"/>
  </cols>
  <sheetData>
    <row r="1" spans="1:7" ht="25.5" customHeight="1" x14ac:dyDescent="0.3">
      <c r="A1" s="42" t="s">
        <v>443</v>
      </c>
      <c r="B1" s="42"/>
      <c r="C1" s="42"/>
      <c r="D1" s="42"/>
      <c r="E1" s="42"/>
      <c r="F1" s="42"/>
      <c r="G1" s="42"/>
    </row>
    <row r="2" spans="1:7" ht="15.75" customHeight="1" x14ac:dyDescent="0.3">
      <c r="A2" s="43" t="s">
        <v>444</v>
      </c>
      <c r="B2" s="43"/>
      <c r="C2" s="43"/>
      <c r="D2" s="43"/>
      <c r="E2" s="43"/>
      <c r="F2" s="43"/>
      <c r="G2" s="43"/>
    </row>
    <row r="4" spans="1:7" ht="30" customHeight="1" x14ac:dyDescent="0.3">
      <c r="A4" s="2" t="s">
        <v>103</v>
      </c>
      <c r="B4" s="44" t="s">
        <v>206</v>
      </c>
      <c r="C4" s="44"/>
      <c r="D4" s="44"/>
      <c r="E4" s="44" t="s">
        <v>207</v>
      </c>
      <c r="F4" s="44"/>
      <c r="G4" s="44"/>
    </row>
    <row r="5" spans="1:7" ht="30" customHeight="1" x14ac:dyDescent="0.3">
      <c r="A5" s="2"/>
      <c r="B5" s="2" t="s">
        <v>118</v>
      </c>
      <c r="C5" s="2" t="s">
        <v>445</v>
      </c>
      <c r="D5" s="2" t="s">
        <v>125</v>
      </c>
      <c r="E5" s="2" t="s">
        <v>355</v>
      </c>
      <c r="F5" s="2" t="s">
        <v>446</v>
      </c>
      <c r="G5" s="2" t="s">
        <v>256</v>
      </c>
    </row>
    <row r="6" spans="1:7" x14ac:dyDescent="0.3">
      <c r="A6" s="13" t="s">
        <v>298</v>
      </c>
      <c r="B6" s="47"/>
      <c r="C6" s="47"/>
      <c r="D6" s="47"/>
      <c r="E6" s="47"/>
      <c r="F6" s="47"/>
      <c r="G6" s="47"/>
    </row>
    <row r="7" spans="1:7" x14ac:dyDescent="0.3">
      <c r="A7" s="9" t="s">
        <v>447</v>
      </c>
      <c r="B7" s="10" t="s">
        <v>140</v>
      </c>
      <c r="C7" s="10" t="s">
        <v>140</v>
      </c>
      <c r="D7" s="10" t="s">
        <v>111</v>
      </c>
      <c r="E7" s="10" t="s">
        <v>260</v>
      </c>
      <c r="F7" s="10" t="s">
        <v>260</v>
      </c>
      <c r="G7" s="10" t="s">
        <v>111</v>
      </c>
    </row>
    <row r="8" spans="1:7" x14ac:dyDescent="0.3">
      <c r="A8" s="7" t="s">
        <v>448</v>
      </c>
      <c r="B8" s="8" t="s">
        <v>152</v>
      </c>
      <c r="C8" s="8" t="s">
        <v>152</v>
      </c>
      <c r="D8" s="8" t="s">
        <v>111</v>
      </c>
      <c r="E8" s="8" t="s">
        <v>449</v>
      </c>
      <c r="F8" s="8" t="s">
        <v>449</v>
      </c>
      <c r="G8" s="8" t="s">
        <v>111</v>
      </c>
    </row>
    <row r="9" spans="1:7" x14ac:dyDescent="0.3">
      <c r="A9" s="9" t="s">
        <v>450</v>
      </c>
      <c r="B9" s="10" t="s">
        <v>451</v>
      </c>
      <c r="C9" s="10" t="s">
        <v>451</v>
      </c>
      <c r="D9" s="10" t="s">
        <v>111</v>
      </c>
      <c r="E9" s="10" t="s">
        <v>452</v>
      </c>
      <c r="F9" s="10" t="s">
        <v>452</v>
      </c>
      <c r="G9" s="10" t="s">
        <v>111</v>
      </c>
    </row>
    <row r="10" spans="1:7" x14ac:dyDescent="0.3">
      <c r="A10" s="13" t="s">
        <v>320</v>
      </c>
      <c r="B10" s="47"/>
      <c r="C10" s="47"/>
      <c r="D10" s="47"/>
      <c r="E10" s="47"/>
      <c r="F10" s="47"/>
      <c r="G10" s="47"/>
    </row>
    <row r="11" spans="1:7" x14ac:dyDescent="0.3">
      <c r="A11" s="9" t="s">
        <v>447</v>
      </c>
      <c r="B11" s="10" t="s">
        <v>183</v>
      </c>
      <c r="C11" s="10" t="s">
        <v>183</v>
      </c>
      <c r="D11" s="10" t="s">
        <v>111</v>
      </c>
      <c r="E11" s="10" t="s">
        <v>267</v>
      </c>
      <c r="F11" s="10" t="s">
        <v>267</v>
      </c>
      <c r="G11" s="10" t="s">
        <v>111</v>
      </c>
    </row>
    <row r="12" spans="1:7" x14ac:dyDescent="0.3">
      <c r="A12" s="7" t="s">
        <v>448</v>
      </c>
      <c r="B12" s="8" t="s">
        <v>187</v>
      </c>
      <c r="C12" s="8" t="s">
        <v>187</v>
      </c>
      <c r="D12" s="8" t="s">
        <v>111</v>
      </c>
      <c r="E12" s="8" t="s">
        <v>453</v>
      </c>
      <c r="F12" s="8" t="s">
        <v>453</v>
      </c>
      <c r="G12" s="8" t="s">
        <v>111</v>
      </c>
    </row>
    <row r="13" spans="1:7" x14ac:dyDescent="0.3">
      <c r="A13" s="9" t="s">
        <v>454</v>
      </c>
      <c r="B13" s="10" t="s">
        <v>455</v>
      </c>
      <c r="C13" s="10" t="s">
        <v>455</v>
      </c>
      <c r="D13" s="10" t="s">
        <v>111</v>
      </c>
      <c r="E13" s="10" t="s">
        <v>456</v>
      </c>
      <c r="F13" s="10" t="s">
        <v>456</v>
      </c>
      <c r="G13" s="10" t="s">
        <v>111</v>
      </c>
    </row>
  </sheetData>
  <mergeCells count="6">
    <mergeCell ref="B10:G10"/>
    <mergeCell ref="A1:G1"/>
    <mergeCell ref="A2:G2"/>
    <mergeCell ref="B4:D4"/>
    <mergeCell ref="E4:G4"/>
    <mergeCell ref="B6:G6"/>
  </mergeCells>
  <pageMargins left="0.75" right="0.75" top="1" bottom="1" header="0.511811023622047" footer="0.511811023622047"/>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29"/>
  <sheetViews>
    <sheetView showGridLines="0" zoomScaleNormal="100" workbookViewId="0">
      <selection sqref="A1:C1"/>
    </sheetView>
  </sheetViews>
  <sheetFormatPr defaultColWidth="8.6640625" defaultRowHeight="14.4" x14ac:dyDescent="0.3"/>
  <cols>
    <col min="1" max="1" width="34" customWidth="1"/>
    <col min="2" max="3" width="14" customWidth="1"/>
  </cols>
  <sheetData>
    <row r="1" spans="1:3" ht="25.5" customHeight="1" x14ac:dyDescent="0.3">
      <c r="A1" s="42" t="s">
        <v>457</v>
      </c>
      <c r="B1" s="42"/>
      <c r="C1" s="42"/>
    </row>
    <row r="2" spans="1:3" ht="15.75" customHeight="1" x14ac:dyDescent="0.3">
      <c r="A2" s="43" t="s">
        <v>458</v>
      </c>
      <c r="B2" s="43"/>
      <c r="C2" s="43"/>
    </row>
    <row r="4" spans="1:3" ht="19.5" customHeight="1" x14ac:dyDescent="0.3">
      <c r="A4" s="45" t="s">
        <v>340</v>
      </c>
      <c r="B4" s="45"/>
      <c r="C4" s="45"/>
    </row>
    <row r="5" spans="1:3" x14ac:dyDescent="0.3">
      <c r="A5" s="2" t="s">
        <v>103</v>
      </c>
      <c r="B5" s="2" t="s">
        <v>104</v>
      </c>
      <c r="C5" s="2" t="s">
        <v>105</v>
      </c>
    </row>
    <row r="6" spans="1:3" x14ac:dyDescent="0.3">
      <c r="A6" s="7" t="s">
        <v>459</v>
      </c>
      <c r="B6" s="11">
        <v>11442</v>
      </c>
      <c r="C6" s="11">
        <v>11166</v>
      </c>
    </row>
    <row r="7" spans="1:3" x14ac:dyDescent="0.3">
      <c r="A7" s="9" t="s">
        <v>460</v>
      </c>
      <c r="B7" s="14">
        <v>636</v>
      </c>
      <c r="C7" s="14">
        <v>525</v>
      </c>
    </row>
    <row r="8" spans="1:3" x14ac:dyDescent="0.3">
      <c r="A8" s="7" t="s">
        <v>461</v>
      </c>
      <c r="B8" s="11">
        <v>12078</v>
      </c>
      <c r="C8" s="11">
        <v>11691</v>
      </c>
    </row>
    <row r="9" spans="1:3" x14ac:dyDescent="0.3">
      <c r="A9" s="9" t="s">
        <v>462</v>
      </c>
      <c r="B9" s="14">
        <v>11051</v>
      </c>
      <c r="C9" s="14">
        <v>10875</v>
      </c>
    </row>
    <row r="10" spans="1:3" x14ac:dyDescent="0.3">
      <c r="A10" s="7" t="s">
        <v>463</v>
      </c>
      <c r="B10" s="11">
        <v>25508</v>
      </c>
      <c r="C10" s="11">
        <v>24792</v>
      </c>
    </row>
    <row r="11" spans="1:3" x14ac:dyDescent="0.3">
      <c r="A11" s="9" t="s">
        <v>464</v>
      </c>
      <c r="B11" s="14">
        <v>36559</v>
      </c>
      <c r="C11" s="14">
        <v>35667</v>
      </c>
    </row>
    <row r="13" spans="1:3" ht="19.5" customHeight="1" x14ac:dyDescent="0.3">
      <c r="A13" s="45" t="s">
        <v>465</v>
      </c>
      <c r="B13" s="45"/>
      <c r="C13" s="45"/>
    </row>
    <row r="14" spans="1:3" x14ac:dyDescent="0.3">
      <c r="A14" s="2" t="s">
        <v>103</v>
      </c>
      <c r="B14" s="2" t="s">
        <v>104</v>
      </c>
      <c r="C14" s="2" t="s">
        <v>105</v>
      </c>
    </row>
    <row r="15" spans="1:3" x14ac:dyDescent="0.3">
      <c r="A15" s="7" t="s">
        <v>459</v>
      </c>
      <c r="B15" s="11">
        <v>11442</v>
      </c>
      <c r="C15" s="11">
        <v>11166</v>
      </c>
    </row>
    <row r="16" spans="1:3" x14ac:dyDescent="0.3">
      <c r="A16" s="9" t="s">
        <v>460</v>
      </c>
      <c r="B16" s="14">
        <v>636</v>
      </c>
      <c r="C16" s="14">
        <v>525</v>
      </c>
    </row>
    <row r="17" spans="1:3" x14ac:dyDescent="0.3">
      <c r="A17" s="7" t="s">
        <v>461</v>
      </c>
      <c r="B17" s="11">
        <v>12078</v>
      </c>
      <c r="C17" s="11">
        <v>11691</v>
      </c>
    </row>
    <row r="18" spans="1:3" x14ac:dyDescent="0.3">
      <c r="A18" s="9" t="s">
        <v>462</v>
      </c>
      <c r="B18" s="14">
        <v>11051</v>
      </c>
      <c r="C18" s="14">
        <v>10875</v>
      </c>
    </row>
    <row r="19" spans="1:3" x14ac:dyDescent="0.3">
      <c r="A19" s="7" t="s">
        <v>463</v>
      </c>
      <c r="B19" s="11">
        <v>25508</v>
      </c>
      <c r="C19" s="11">
        <v>24792</v>
      </c>
    </row>
    <row r="20" spans="1:3" x14ac:dyDescent="0.3">
      <c r="A20" s="9" t="s">
        <v>464</v>
      </c>
      <c r="B20" s="14">
        <v>36559</v>
      </c>
      <c r="C20" s="14">
        <v>35667</v>
      </c>
    </row>
    <row r="22" spans="1:3" ht="19.5" customHeight="1" x14ac:dyDescent="0.3">
      <c r="A22" s="45" t="s">
        <v>287</v>
      </c>
      <c r="B22" s="45"/>
      <c r="C22" s="45"/>
    </row>
    <row r="23" spans="1:3" x14ac:dyDescent="0.3">
      <c r="A23" s="2" t="s">
        <v>103</v>
      </c>
      <c r="B23" s="2" t="s">
        <v>104</v>
      </c>
      <c r="C23" s="2" t="s">
        <v>105</v>
      </c>
    </row>
    <row r="24" spans="1:3" x14ac:dyDescent="0.3">
      <c r="A24" s="7" t="s">
        <v>459</v>
      </c>
      <c r="B24" s="12">
        <v>1</v>
      </c>
      <c r="C24" s="12">
        <v>1</v>
      </c>
    </row>
    <row r="25" spans="1:3" x14ac:dyDescent="0.3">
      <c r="A25" s="9" t="s">
        <v>460</v>
      </c>
      <c r="B25" s="15">
        <v>1</v>
      </c>
      <c r="C25" s="15">
        <v>1</v>
      </c>
    </row>
    <row r="26" spans="1:3" x14ac:dyDescent="0.3">
      <c r="A26" s="7" t="s">
        <v>461</v>
      </c>
      <c r="B26" s="12">
        <v>1</v>
      </c>
      <c r="C26" s="12">
        <v>1</v>
      </c>
    </row>
    <row r="27" spans="1:3" x14ac:dyDescent="0.3">
      <c r="A27" s="9" t="s">
        <v>462</v>
      </c>
      <c r="B27" s="15">
        <v>1</v>
      </c>
      <c r="C27" s="15">
        <v>1</v>
      </c>
    </row>
    <row r="28" spans="1:3" x14ac:dyDescent="0.3">
      <c r="A28" s="7" t="s">
        <v>463</v>
      </c>
      <c r="B28" s="12">
        <v>1</v>
      </c>
      <c r="C28" s="12">
        <v>1</v>
      </c>
    </row>
    <row r="29" spans="1:3" x14ac:dyDescent="0.3">
      <c r="A29" s="9" t="s">
        <v>464</v>
      </c>
      <c r="B29" s="15">
        <v>1</v>
      </c>
      <c r="C29" s="15">
        <v>1</v>
      </c>
    </row>
  </sheetData>
  <mergeCells count="5">
    <mergeCell ref="A1:C1"/>
    <mergeCell ref="A2:C2"/>
    <mergeCell ref="A4:C4"/>
    <mergeCell ref="A13:C13"/>
    <mergeCell ref="A22:C22"/>
  </mergeCells>
  <pageMargins left="0.75" right="0.75" top="1" bottom="1" header="0.511811023622047" footer="0.511811023622047"/>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0"/>
  <sheetViews>
    <sheetView showGridLines="0" zoomScaleNormal="100" workbookViewId="0">
      <pane xSplit="1" ySplit="6" topLeftCell="B7" activePane="bottomRight" state="frozen"/>
      <selection pane="topRight" activeCell="B1" sqref="B1"/>
      <selection pane="bottomLeft" activeCell="A7" sqref="A7"/>
      <selection pane="bottomRight" sqref="A1:K1"/>
    </sheetView>
  </sheetViews>
  <sheetFormatPr defaultColWidth="8.6640625" defaultRowHeight="14.4" x14ac:dyDescent="0.3"/>
  <cols>
    <col min="1" max="1" width="30" customWidth="1"/>
    <col min="2" max="2" width="37" customWidth="1"/>
    <col min="3" max="3" width="23" customWidth="1"/>
    <col min="4" max="4" width="14" customWidth="1"/>
    <col min="5" max="5" width="24" customWidth="1"/>
    <col min="6" max="6" width="14" customWidth="1"/>
    <col min="7" max="7" width="38" customWidth="1"/>
    <col min="8" max="8" width="23" customWidth="1"/>
    <col min="9" max="9" width="14" customWidth="1"/>
    <col min="10" max="10" width="24" customWidth="1"/>
    <col min="11" max="11" width="14" customWidth="1"/>
  </cols>
  <sheetData>
    <row r="1" spans="1:11" ht="25.5" customHeight="1" x14ac:dyDescent="0.3">
      <c r="A1" s="42" t="s">
        <v>466</v>
      </c>
      <c r="B1" s="42"/>
      <c r="C1" s="42"/>
      <c r="D1" s="42"/>
      <c r="E1" s="42"/>
      <c r="F1" s="42"/>
      <c r="G1" s="42"/>
      <c r="H1" s="42"/>
      <c r="I1" s="42"/>
      <c r="J1" s="42"/>
      <c r="K1" s="42"/>
    </row>
    <row r="2" spans="1:11" ht="15.75" customHeight="1" x14ac:dyDescent="0.3">
      <c r="A2" s="43" t="s">
        <v>444</v>
      </c>
      <c r="B2" s="43"/>
      <c r="C2" s="43"/>
      <c r="D2" s="43"/>
      <c r="E2" s="43"/>
      <c r="F2" s="43"/>
      <c r="G2" s="43"/>
      <c r="H2" s="43"/>
      <c r="I2" s="43"/>
      <c r="J2" s="43"/>
      <c r="K2" s="43"/>
    </row>
    <row r="4" spans="1:11" ht="30" customHeight="1" x14ac:dyDescent="0.3">
      <c r="A4" s="2" t="s">
        <v>103</v>
      </c>
      <c r="B4" s="44" t="s">
        <v>206</v>
      </c>
      <c r="C4" s="44"/>
      <c r="D4" s="44"/>
      <c r="E4" s="44"/>
      <c r="F4" s="44"/>
      <c r="G4" s="44" t="s">
        <v>207</v>
      </c>
      <c r="H4" s="44"/>
      <c r="I4" s="44"/>
      <c r="J4" s="44"/>
      <c r="K4" s="44"/>
    </row>
    <row r="5" spans="1:11" ht="30" customHeight="1" x14ac:dyDescent="0.3">
      <c r="A5" s="2"/>
      <c r="B5" s="2" t="s">
        <v>118</v>
      </c>
      <c r="C5" s="44" t="s">
        <v>467</v>
      </c>
      <c r="D5" s="44"/>
      <c r="E5" s="44" t="s">
        <v>468</v>
      </c>
      <c r="F5" s="44"/>
      <c r="G5" s="2" t="s">
        <v>291</v>
      </c>
      <c r="H5" s="44" t="s">
        <v>467</v>
      </c>
      <c r="I5" s="44"/>
      <c r="J5" s="44" t="s">
        <v>469</v>
      </c>
      <c r="K5" s="44"/>
    </row>
    <row r="6" spans="1:11" ht="30" customHeight="1" x14ac:dyDescent="0.3">
      <c r="A6" s="2"/>
      <c r="B6" s="2"/>
      <c r="C6" s="2" t="s">
        <v>292</v>
      </c>
      <c r="D6" s="2" t="s">
        <v>125</v>
      </c>
      <c r="E6" s="2" t="s">
        <v>293</v>
      </c>
      <c r="F6" s="44" t="s">
        <v>127</v>
      </c>
      <c r="G6" s="44"/>
      <c r="H6" s="2" t="s">
        <v>294</v>
      </c>
      <c r="I6" s="2" t="s">
        <v>295</v>
      </c>
      <c r="J6" s="2" t="s">
        <v>296</v>
      </c>
      <c r="K6" s="2" t="s">
        <v>297</v>
      </c>
    </row>
    <row r="7" spans="1:11" x14ac:dyDescent="0.3">
      <c r="A7" s="13" t="s">
        <v>298</v>
      </c>
      <c r="B7" s="47"/>
      <c r="C7" s="47"/>
      <c r="D7" s="47"/>
      <c r="E7" s="47"/>
      <c r="F7" s="47"/>
      <c r="G7" s="47"/>
      <c r="H7" s="47"/>
      <c r="I7" s="47"/>
      <c r="J7" s="47"/>
      <c r="K7" s="47"/>
    </row>
    <row r="8" spans="1:11" x14ac:dyDescent="0.3">
      <c r="A8" s="9" t="s">
        <v>447</v>
      </c>
      <c r="B8" s="10" t="s">
        <v>140</v>
      </c>
      <c r="C8" s="10" t="s">
        <v>258</v>
      </c>
      <c r="D8" s="10" t="s">
        <v>259</v>
      </c>
      <c r="E8" s="10" t="s">
        <v>140</v>
      </c>
      <c r="F8" s="10" t="s">
        <v>111</v>
      </c>
      <c r="G8" s="10" t="s">
        <v>260</v>
      </c>
      <c r="H8" s="10" t="s">
        <v>258</v>
      </c>
      <c r="I8" s="10" t="s">
        <v>259</v>
      </c>
      <c r="J8" s="10" t="s">
        <v>260</v>
      </c>
      <c r="K8" s="10" t="s">
        <v>111</v>
      </c>
    </row>
    <row r="9" spans="1:11" x14ac:dyDescent="0.3">
      <c r="A9" s="7" t="s">
        <v>135</v>
      </c>
      <c r="B9" s="8" t="s">
        <v>136</v>
      </c>
      <c r="C9" s="8" t="s">
        <v>258</v>
      </c>
      <c r="D9" s="8" t="s">
        <v>259</v>
      </c>
      <c r="E9" s="8" t="s">
        <v>136</v>
      </c>
      <c r="F9" s="8" t="s">
        <v>111</v>
      </c>
      <c r="G9" s="8" t="s">
        <v>262</v>
      </c>
      <c r="H9" s="8" t="s">
        <v>258</v>
      </c>
      <c r="I9" s="8" t="s">
        <v>259</v>
      </c>
      <c r="J9" s="8" t="s">
        <v>262</v>
      </c>
      <c r="K9" s="8" t="s">
        <v>111</v>
      </c>
    </row>
    <row r="10" spans="1:11" x14ac:dyDescent="0.3">
      <c r="A10" s="9" t="s">
        <v>137</v>
      </c>
      <c r="B10" s="10" t="s">
        <v>138</v>
      </c>
      <c r="C10" s="10" t="s">
        <v>258</v>
      </c>
      <c r="D10" s="10" t="s">
        <v>259</v>
      </c>
      <c r="E10" s="10" t="s">
        <v>138</v>
      </c>
      <c r="F10" s="10" t="s">
        <v>111</v>
      </c>
      <c r="G10" s="10" t="s">
        <v>264</v>
      </c>
      <c r="H10" s="10" t="s">
        <v>258</v>
      </c>
      <c r="I10" s="10" t="s">
        <v>259</v>
      </c>
      <c r="J10" s="10" t="s">
        <v>264</v>
      </c>
      <c r="K10" s="10" t="s">
        <v>111</v>
      </c>
    </row>
    <row r="11" spans="1:11" x14ac:dyDescent="0.3">
      <c r="A11" s="7" t="s">
        <v>470</v>
      </c>
      <c r="B11" s="8" t="s">
        <v>152</v>
      </c>
      <c r="C11" s="8" t="s">
        <v>258</v>
      </c>
      <c r="D11" s="8" t="s">
        <v>259</v>
      </c>
      <c r="E11" s="8" t="s">
        <v>152</v>
      </c>
      <c r="F11" s="8" t="s">
        <v>111</v>
      </c>
      <c r="G11" s="8" t="s">
        <v>449</v>
      </c>
      <c r="H11" s="8" t="s">
        <v>258</v>
      </c>
      <c r="I11" s="8" t="s">
        <v>259</v>
      </c>
      <c r="J11" s="8" t="s">
        <v>449</v>
      </c>
      <c r="K11" s="8" t="s">
        <v>111</v>
      </c>
    </row>
    <row r="12" spans="1:11" x14ac:dyDescent="0.3">
      <c r="A12" s="9" t="s">
        <v>135</v>
      </c>
      <c r="B12" s="10" t="s">
        <v>142</v>
      </c>
      <c r="C12" s="10" t="s">
        <v>258</v>
      </c>
      <c r="D12" s="10" t="s">
        <v>259</v>
      </c>
      <c r="E12" s="10" t="s">
        <v>142</v>
      </c>
      <c r="F12" s="10" t="s">
        <v>111</v>
      </c>
      <c r="G12" s="10" t="s">
        <v>471</v>
      </c>
      <c r="H12" s="10" t="s">
        <v>258</v>
      </c>
      <c r="I12" s="10" t="s">
        <v>259</v>
      </c>
      <c r="J12" s="10" t="s">
        <v>471</v>
      </c>
      <c r="K12" s="10" t="s">
        <v>111</v>
      </c>
    </row>
    <row r="13" spans="1:11" x14ac:dyDescent="0.3">
      <c r="A13" s="7" t="s">
        <v>137</v>
      </c>
      <c r="B13" s="8" t="s">
        <v>147</v>
      </c>
      <c r="C13" s="8" t="s">
        <v>258</v>
      </c>
      <c r="D13" s="8" t="s">
        <v>259</v>
      </c>
      <c r="E13" s="8" t="s">
        <v>147</v>
      </c>
      <c r="F13" s="8" t="s">
        <v>111</v>
      </c>
      <c r="G13" s="8" t="s">
        <v>472</v>
      </c>
      <c r="H13" s="8" t="s">
        <v>258</v>
      </c>
      <c r="I13" s="8" t="s">
        <v>259</v>
      </c>
      <c r="J13" s="8" t="s">
        <v>472</v>
      </c>
      <c r="K13" s="8" t="s">
        <v>111</v>
      </c>
    </row>
    <row r="14" spans="1:11" x14ac:dyDescent="0.3">
      <c r="A14" s="13" t="s">
        <v>320</v>
      </c>
      <c r="B14" s="47"/>
      <c r="C14" s="47"/>
      <c r="D14" s="47"/>
      <c r="E14" s="47"/>
      <c r="F14" s="47"/>
      <c r="G14" s="47"/>
      <c r="H14" s="47"/>
      <c r="I14" s="47"/>
      <c r="J14" s="47"/>
      <c r="K14" s="47"/>
    </row>
    <row r="15" spans="1:11" x14ac:dyDescent="0.3">
      <c r="A15" s="7" t="s">
        <v>447</v>
      </c>
      <c r="B15" s="8" t="s">
        <v>183</v>
      </c>
      <c r="C15" s="8" t="s">
        <v>473</v>
      </c>
      <c r="D15" s="8" t="s">
        <v>474</v>
      </c>
      <c r="E15" s="8" t="s">
        <v>475</v>
      </c>
      <c r="F15" s="8" t="s">
        <v>235</v>
      </c>
      <c r="G15" s="8" t="s">
        <v>267</v>
      </c>
      <c r="H15" s="8" t="s">
        <v>476</v>
      </c>
      <c r="I15" s="8" t="s">
        <v>474</v>
      </c>
      <c r="J15" s="8" t="s">
        <v>477</v>
      </c>
      <c r="K15" s="8" t="s">
        <v>235</v>
      </c>
    </row>
    <row r="16" spans="1:11" x14ac:dyDescent="0.3">
      <c r="A16" s="9" t="s">
        <v>135</v>
      </c>
      <c r="B16" s="10" t="s">
        <v>181</v>
      </c>
      <c r="C16" s="10" t="s">
        <v>478</v>
      </c>
      <c r="D16" s="10" t="s">
        <v>479</v>
      </c>
      <c r="E16" s="10" t="s">
        <v>480</v>
      </c>
      <c r="F16" s="10" t="s">
        <v>481</v>
      </c>
      <c r="G16" s="10" t="s">
        <v>271</v>
      </c>
      <c r="H16" s="10" t="s">
        <v>482</v>
      </c>
      <c r="I16" s="10" t="s">
        <v>479</v>
      </c>
      <c r="J16" s="10" t="s">
        <v>483</v>
      </c>
      <c r="K16" s="10" t="s">
        <v>481</v>
      </c>
    </row>
    <row r="17" spans="1:11" x14ac:dyDescent="0.3">
      <c r="A17" s="7" t="s">
        <v>137</v>
      </c>
      <c r="B17" s="8" t="s">
        <v>182</v>
      </c>
      <c r="C17" s="8" t="s">
        <v>484</v>
      </c>
      <c r="D17" s="8" t="s">
        <v>485</v>
      </c>
      <c r="E17" s="8" t="s">
        <v>486</v>
      </c>
      <c r="F17" s="8" t="s">
        <v>487</v>
      </c>
      <c r="G17" s="8" t="s">
        <v>276</v>
      </c>
      <c r="H17" s="8" t="s">
        <v>488</v>
      </c>
      <c r="I17" s="8" t="s">
        <v>489</v>
      </c>
      <c r="J17" s="8" t="s">
        <v>490</v>
      </c>
      <c r="K17" s="8" t="s">
        <v>491</v>
      </c>
    </row>
    <row r="18" spans="1:11" x14ac:dyDescent="0.3">
      <c r="A18" s="9" t="s">
        <v>470</v>
      </c>
      <c r="B18" s="10" t="s">
        <v>187</v>
      </c>
      <c r="C18" s="10" t="s">
        <v>492</v>
      </c>
      <c r="D18" s="10" t="s">
        <v>310</v>
      </c>
      <c r="E18" s="10" t="s">
        <v>493</v>
      </c>
      <c r="F18" s="10" t="s">
        <v>144</v>
      </c>
      <c r="G18" s="10" t="s">
        <v>453</v>
      </c>
      <c r="H18" s="10" t="s">
        <v>494</v>
      </c>
      <c r="I18" s="10" t="s">
        <v>495</v>
      </c>
      <c r="J18" s="10" t="s">
        <v>496</v>
      </c>
      <c r="K18" s="10" t="s">
        <v>154</v>
      </c>
    </row>
    <row r="19" spans="1:11" x14ac:dyDescent="0.3">
      <c r="A19" s="7" t="s">
        <v>135</v>
      </c>
      <c r="B19" s="8" t="s">
        <v>185</v>
      </c>
      <c r="C19" s="8" t="s">
        <v>497</v>
      </c>
      <c r="D19" s="8" t="s">
        <v>498</v>
      </c>
      <c r="E19" s="8" t="s">
        <v>499</v>
      </c>
      <c r="F19" s="8" t="s">
        <v>500</v>
      </c>
      <c r="G19" s="8" t="s">
        <v>501</v>
      </c>
      <c r="H19" s="8" t="s">
        <v>502</v>
      </c>
      <c r="I19" s="8" t="s">
        <v>485</v>
      </c>
      <c r="J19" s="8" t="s">
        <v>503</v>
      </c>
      <c r="K19" s="8" t="s">
        <v>487</v>
      </c>
    </row>
    <row r="20" spans="1:11" x14ac:dyDescent="0.3">
      <c r="A20" s="9" t="s">
        <v>137</v>
      </c>
      <c r="B20" s="10" t="s">
        <v>186</v>
      </c>
      <c r="C20" s="10" t="s">
        <v>504</v>
      </c>
      <c r="D20" s="10" t="s">
        <v>505</v>
      </c>
      <c r="E20" s="10" t="s">
        <v>506</v>
      </c>
      <c r="F20" s="10" t="s">
        <v>304</v>
      </c>
      <c r="G20" s="10" t="s">
        <v>507</v>
      </c>
      <c r="H20" s="10" t="s">
        <v>508</v>
      </c>
      <c r="I20" s="10" t="s">
        <v>509</v>
      </c>
      <c r="J20" s="10" t="s">
        <v>510</v>
      </c>
      <c r="K20" s="10" t="s">
        <v>511</v>
      </c>
    </row>
  </sheetData>
  <mergeCells count="11">
    <mergeCell ref="F6:G6"/>
    <mergeCell ref="B7:K7"/>
    <mergeCell ref="B14:K14"/>
    <mergeCell ref="A1:K1"/>
    <mergeCell ref="A2:K2"/>
    <mergeCell ref="B4:F4"/>
    <mergeCell ref="G4:K4"/>
    <mergeCell ref="C5:D5"/>
    <mergeCell ref="E5:F5"/>
    <mergeCell ref="H5:I5"/>
    <mergeCell ref="J5:K5"/>
  </mergeCells>
  <pageMargins left="0.75" right="0.75" top="1" bottom="1" header="0.511811023622047" footer="0.511811023622047"/>
  <pageSetup paperSize="9"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07"/>
  <sheetViews>
    <sheetView showGridLines="0" topLeftCell="A76" zoomScaleNormal="100" workbookViewId="0">
      <selection sqref="A1:C1"/>
    </sheetView>
  </sheetViews>
  <sheetFormatPr defaultColWidth="8.6640625" defaultRowHeight="14.4" x14ac:dyDescent="0.3"/>
  <cols>
    <col min="1" max="1" width="43" customWidth="1"/>
    <col min="2" max="2" width="14" customWidth="1"/>
    <col min="3" max="3" width="40.21875" customWidth="1"/>
  </cols>
  <sheetData>
    <row r="1" spans="1:3" ht="25.5" customHeight="1" x14ac:dyDescent="0.3">
      <c r="A1" s="42" t="s">
        <v>512</v>
      </c>
      <c r="B1" s="42"/>
      <c r="C1" s="42"/>
    </row>
    <row r="2" spans="1:3" ht="15.75" customHeight="1" x14ac:dyDescent="0.3">
      <c r="A2" s="43" t="s">
        <v>458</v>
      </c>
      <c r="B2" s="43"/>
      <c r="C2" s="43"/>
    </row>
    <row r="4" spans="1:3" ht="19.5" customHeight="1" x14ac:dyDescent="0.3">
      <c r="A4" s="45" t="s">
        <v>340</v>
      </c>
      <c r="B4" s="45"/>
      <c r="C4" s="45"/>
    </row>
    <row r="5" spans="1:3" x14ac:dyDescent="0.3">
      <c r="A5" s="2" t="s">
        <v>103</v>
      </c>
      <c r="B5" s="2" t="s">
        <v>104</v>
      </c>
      <c r="C5" s="2" t="s">
        <v>105</v>
      </c>
    </row>
    <row r="6" spans="1:3" x14ac:dyDescent="0.3">
      <c r="A6" s="7" t="s">
        <v>459</v>
      </c>
      <c r="B6" s="11">
        <v>11442</v>
      </c>
      <c r="C6" s="11">
        <v>11166</v>
      </c>
    </row>
    <row r="7" spans="1:3" x14ac:dyDescent="0.3">
      <c r="A7" s="9" t="s">
        <v>513</v>
      </c>
      <c r="B7" s="14">
        <v>9362</v>
      </c>
      <c r="C7" s="14">
        <v>9234</v>
      </c>
    </row>
    <row r="8" spans="1:3" x14ac:dyDescent="0.3">
      <c r="A8" s="7" t="s">
        <v>514</v>
      </c>
      <c r="B8" s="11">
        <v>2080</v>
      </c>
      <c r="C8" s="11">
        <v>1932</v>
      </c>
    </row>
    <row r="9" spans="1:3" x14ac:dyDescent="0.3">
      <c r="A9" s="9" t="s">
        <v>515</v>
      </c>
      <c r="B9" s="14">
        <v>636</v>
      </c>
      <c r="C9" s="14">
        <v>525</v>
      </c>
    </row>
    <row r="10" spans="1:3" x14ac:dyDescent="0.3">
      <c r="A10" s="7" t="s">
        <v>516</v>
      </c>
      <c r="B10" s="11">
        <v>440</v>
      </c>
      <c r="C10" s="11">
        <v>369</v>
      </c>
    </row>
    <row r="11" spans="1:3" x14ac:dyDescent="0.3">
      <c r="A11" s="9" t="s">
        <v>517</v>
      </c>
      <c r="B11" s="14">
        <v>196</v>
      </c>
      <c r="C11" s="14">
        <v>156</v>
      </c>
    </row>
    <row r="12" spans="1:3" x14ac:dyDescent="0.3">
      <c r="A12" s="7" t="s">
        <v>462</v>
      </c>
      <c r="B12" s="11">
        <v>11051</v>
      </c>
      <c r="C12" s="11">
        <v>10875</v>
      </c>
    </row>
    <row r="13" spans="1:3" x14ac:dyDescent="0.3">
      <c r="A13" s="9" t="s">
        <v>518</v>
      </c>
      <c r="B13" s="14">
        <v>10368</v>
      </c>
      <c r="C13" s="14">
        <v>10197</v>
      </c>
    </row>
    <row r="14" spans="1:3" x14ac:dyDescent="0.3">
      <c r="A14" s="7" t="s">
        <v>519</v>
      </c>
      <c r="B14" s="11">
        <v>683</v>
      </c>
      <c r="C14" s="11">
        <v>678</v>
      </c>
    </row>
    <row r="15" spans="1:3" x14ac:dyDescent="0.3">
      <c r="A15" s="9" t="s">
        <v>520</v>
      </c>
      <c r="B15" s="14">
        <v>25508</v>
      </c>
      <c r="C15" s="14">
        <v>24792</v>
      </c>
    </row>
    <row r="16" spans="1:3" x14ac:dyDescent="0.3">
      <c r="A16" s="7" t="s">
        <v>521</v>
      </c>
      <c r="B16" s="11">
        <v>21203</v>
      </c>
      <c r="C16" s="11">
        <v>20690</v>
      </c>
    </row>
    <row r="17" spans="1:3" x14ac:dyDescent="0.3">
      <c r="A17" s="9" t="s">
        <v>522</v>
      </c>
      <c r="B17" s="14">
        <v>4305</v>
      </c>
      <c r="C17" s="14">
        <v>4102</v>
      </c>
    </row>
    <row r="19" spans="1:3" ht="19.5" customHeight="1" x14ac:dyDescent="0.3">
      <c r="A19" s="45" t="s">
        <v>523</v>
      </c>
      <c r="B19" s="45"/>
      <c r="C19" s="45"/>
    </row>
    <row r="20" spans="1:3" x14ac:dyDescent="0.3">
      <c r="A20" s="2" t="s">
        <v>103</v>
      </c>
      <c r="B20" s="2" t="s">
        <v>104</v>
      </c>
      <c r="C20" s="2" t="s">
        <v>105</v>
      </c>
    </row>
    <row r="21" spans="1:3" x14ac:dyDescent="0.3">
      <c r="A21" s="7" t="s">
        <v>459</v>
      </c>
      <c r="B21" s="11">
        <v>0</v>
      </c>
      <c r="C21" s="11">
        <v>0</v>
      </c>
    </row>
    <row r="22" spans="1:3" x14ac:dyDescent="0.3">
      <c r="A22" s="9" t="s">
        <v>513</v>
      </c>
      <c r="B22" s="14">
        <v>0</v>
      </c>
      <c r="C22" s="14">
        <v>0</v>
      </c>
    </row>
    <row r="23" spans="1:3" x14ac:dyDescent="0.3">
      <c r="A23" s="7" t="s">
        <v>514</v>
      </c>
      <c r="B23" s="11">
        <v>0</v>
      </c>
      <c r="C23" s="11">
        <v>0</v>
      </c>
    </row>
    <row r="24" spans="1:3" x14ac:dyDescent="0.3">
      <c r="A24" s="9" t="s">
        <v>515</v>
      </c>
      <c r="B24" s="14">
        <v>0</v>
      </c>
      <c r="C24" s="14">
        <v>0</v>
      </c>
    </row>
    <row r="25" spans="1:3" x14ac:dyDescent="0.3">
      <c r="A25" s="7" t="s">
        <v>516</v>
      </c>
      <c r="B25" s="11">
        <v>0</v>
      </c>
      <c r="C25" s="11">
        <v>0</v>
      </c>
    </row>
    <row r="26" spans="1:3" x14ac:dyDescent="0.3">
      <c r="A26" s="9" t="s">
        <v>517</v>
      </c>
      <c r="B26" s="14">
        <v>0</v>
      </c>
      <c r="C26" s="14">
        <v>0</v>
      </c>
    </row>
    <row r="27" spans="1:3" x14ac:dyDescent="0.3">
      <c r="A27" s="7" t="s">
        <v>462</v>
      </c>
      <c r="B27" s="11">
        <v>305</v>
      </c>
      <c r="C27" s="11">
        <v>295</v>
      </c>
    </row>
    <row r="28" spans="1:3" x14ac:dyDescent="0.3">
      <c r="A28" s="9" t="s">
        <v>518</v>
      </c>
      <c r="B28" s="14">
        <v>91</v>
      </c>
      <c r="C28" s="14">
        <v>61</v>
      </c>
    </row>
    <row r="29" spans="1:3" x14ac:dyDescent="0.3">
      <c r="A29" s="7" t="s">
        <v>519</v>
      </c>
      <c r="B29" s="11">
        <v>214</v>
      </c>
      <c r="C29" s="11">
        <v>234</v>
      </c>
    </row>
    <row r="30" spans="1:3" x14ac:dyDescent="0.3">
      <c r="A30" s="9" t="s">
        <v>520</v>
      </c>
      <c r="B30" s="14">
        <v>8527</v>
      </c>
      <c r="C30" s="14">
        <v>9014</v>
      </c>
    </row>
    <row r="31" spans="1:3" x14ac:dyDescent="0.3">
      <c r="A31" s="7" t="s">
        <v>521</v>
      </c>
      <c r="B31" s="11">
        <v>5951</v>
      </c>
      <c r="C31" s="11">
        <v>6477</v>
      </c>
    </row>
    <row r="32" spans="1:3" x14ac:dyDescent="0.3">
      <c r="A32" s="9" t="s">
        <v>522</v>
      </c>
      <c r="B32" s="14">
        <v>2576</v>
      </c>
      <c r="C32" s="14">
        <v>2537</v>
      </c>
    </row>
    <row r="34" spans="1:3" ht="19.5" customHeight="1" x14ac:dyDescent="0.3">
      <c r="A34" s="45" t="s">
        <v>524</v>
      </c>
      <c r="B34" s="45"/>
      <c r="C34" s="45"/>
    </row>
    <row r="35" spans="1:3" x14ac:dyDescent="0.3">
      <c r="A35" s="2" t="s">
        <v>103</v>
      </c>
      <c r="B35" s="2" t="s">
        <v>104</v>
      </c>
      <c r="C35" s="2" t="s">
        <v>105</v>
      </c>
    </row>
    <row r="36" spans="1:3" x14ac:dyDescent="0.3">
      <c r="A36" s="7" t="s">
        <v>459</v>
      </c>
      <c r="B36" s="12">
        <v>0</v>
      </c>
      <c r="C36" s="12">
        <v>0</v>
      </c>
    </row>
    <row r="37" spans="1:3" x14ac:dyDescent="0.3">
      <c r="A37" s="9" t="s">
        <v>513</v>
      </c>
      <c r="B37" s="15">
        <v>0</v>
      </c>
      <c r="C37" s="15">
        <v>0</v>
      </c>
    </row>
    <row r="38" spans="1:3" x14ac:dyDescent="0.3">
      <c r="A38" s="7" t="s">
        <v>514</v>
      </c>
      <c r="B38" s="12">
        <v>0</v>
      </c>
      <c r="C38" s="12">
        <v>0</v>
      </c>
    </row>
    <row r="39" spans="1:3" x14ac:dyDescent="0.3">
      <c r="A39" s="9" t="s">
        <v>515</v>
      </c>
      <c r="B39" s="15">
        <v>0</v>
      </c>
      <c r="C39" s="15">
        <v>0</v>
      </c>
    </row>
    <row r="40" spans="1:3" x14ac:dyDescent="0.3">
      <c r="A40" s="7" t="s">
        <v>516</v>
      </c>
      <c r="B40" s="12">
        <v>0</v>
      </c>
      <c r="C40" s="12">
        <v>0</v>
      </c>
    </row>
    <row r="41" spans="1:3" x14ac:dyDescent="0.3">
      <c r="A41" s="9" t="s">
        <v>517</v>
      </c>
      <c r="B41" s="15">
        <v>0</v>
      </c>
      <c r="C41" s="15">
        <v>0</v>
      </c>
    </row>
    <row r="42" spans="1:3" x14ac:dyDescent="0.3">
      <c r="A42" s="7" t="s">
        <v>462</v>
      </c>
      <c r="B42" s="12">
        <v>0.03</v>
      </c>
      <c r="C42" s="12">
        <v>0.03</v>
      </c>
    </row>
    <row r="43" spans="1:3" x14ac:dyDescent="0.3">
      <c r="A43" s="9" t="s">
        <v>518</v>
      </c>
      <c r="B43" s="15">
        <v>0.01</v>
      </c>
      <c r="C43" s="15">
        <v>0.01</v>
      </c>
    </row>
    <row r="44" spans="1:3" x14ac:dyDescent="0.3">
      <c r="A44" s="7" t="s">
        <v>519</v>
      </c>
      <c r="B44" s="12">
        <v>0.31</v>
      </c>
      <c r="C44" s="12">
        <v>0.35</v>
      </c>
    </row>
    <row r="45" spans="1:3" x14ac:dyDescent="0.3">
      <c r="A45" s="9" t="s">
        <v>520</v>
      </c>
      <c r="B45" s="15">
        <v>0.33</v>
      </c>
      <c r="C45" s="15">
        <v>0.36</v>
      </c>
    </row>
    <row r="46" spans="1:3" x14ac:dyDescent="0.3">
      <c r="A46" s="7" t="s">
        <v>521</v>
      </c>
      <c r="B46" s="12">
        <v>0.28000000000000003</v>
      </c>
      <c r="C46" s="12">
        <v>0.31</v>
      </c>
    </row>
    <row r="47" spans="1:3" x14ac:dyDescent="0.3">
      <c r="A47" s="9" t="s">
        <v>522</v>
      </c>
      <c r="B47" s="15">
        <v>0.6</v>
      </c>
      <c r="C47" s="15">
        <v>0.62</v>
      </c>
    </row>
    <row r="49" spans="1:2" ht="19.5" customHeight="1" x14ac:dyDescent="0.3">
      <c r="A49" s="45" t="s">
        <v>525</v>
      </c>
      <c r="B49" s="45"/>
    </row>
    <row r="50" spans="1:2" x14ac:dyDescent="0.3">
      <c r="A50" s="2" t="s">
        <v>103</v>
      </c>
      <c r="B50" s="2" t="s">
        <v>104</v>
      </c>
    </row>
    <row r="51" spans="1:2" x14ac:dyDescent="0.3">
      <c r="A51" s="7" t="s">
        <v>459</v>
      </c>
      <c r="B51" s="11">
        <v>11442</v>
      </c>
    </row>
    <row r="52" spans="1:2" x14ac:dyDescent="0.3">
      <c r="A52" s="9" t="s">
        <v>513</v>
      </c>
      <c r="B52" s="14">
        <v>9362</v>
      </c>
    </row>
    <row r="53" spans="1:2" x14ac:dyDescent="0.3">
      <c r="A53" s="7" t="s">
        <v>514</v>
      </c>
      <c r="B53" s="11">
        <v>2080</v>
      </c>
    </row>
    <row r="54" spans="1:2" x14ac:dyDescent="0.3">
      <c r="A54" s="9" t="s">
        <v>515</v>
      </c>
      <c r="B54" s="14">
        <v>636</v>
      </c>
    </row>
    <row r="55" spans="1:2" x14ac:dyDescent="0.3">
      <c r="A55" s="7" t="s">
        <v>516</v>
      </c>
      <c r="B55" s="11">
        <v>440</v>
      </c>
    </row>
    <row r="56" spans="1:2" x14ac:dyDescent="0.3">
      <c r="A56" s="9" t="s">
        <v>517</v>
      </c>
      <c r="B56" s="14">
        <v>196</v>
      </c>
    </row>
    <row r="57" spans="1:2" x14ac:dyDescent="0.3">
      <c r="A57" s="7" t="s">
        <v>462</v>
      </c>
      <c r="B57" s="11">
        <v>10746</v>
      </c>
    </row>
    <row r="58" spans="1:2" x14ac:dyDescent="0.3">
      <c r="A58" s="9" t="s">
        <v>518</v>
      </c>
      <c r="B58" s="14">
        <v>10277</v>
      </c>
    </row>
    <row r="59" spans="1:2" x14ac:dyDescent="0.3">
      <c r="A59" s="7" t="s">
        <v>519</v>
      </c>
      <c r="B59" s="11">
        <v>469</v>
      </c>
    </row>
    <row r="60" spans="1:2" x14ac:dyDescent="0.3">
      <c r="A60" s="9" t="s">
        <v>520</v>
      </c>
      <c r="B60" s="14">
        <v>16981</v>
      </c>
    </row>
    <row r="61" spans="1:2" x14ac:dyDescent="0.3">
      <c r="A61" s="7" t="s">
        <v>521</v>
      </c>
      <c r="B61" s="11">
        <v>15252</v>
      </c>
    </row>
    <row r="62" spans="1:2" x14ac:dyDescent="0.3">
      <c r="A62" s="9" t="s">
        <v>522</v>
      </c>
      <c r="B62" s="14">
        <v>1729</v>
      </c>
    </row>
    <row r="64" spans="1:2" ht="19.5" customHeight="1" x14ac:dyDescent="0.3">
      <c r="A64" s="45" t="s">
        <v>526</v>
      </c>
      <c r="B64" s="45"/>
    </row>
    <row r="65" spans="1:2" x14ac:dyDescent="0.3">
      <c r="A65" s="2" t="s">
        <v>103</v>
      </c>
      <c r="B65" s="2" t="s">
        <v>104</v>
      </c>
    </row>
    <row r="66" spans="1:2" x14ac:dyDescent="0.3">
      <c r="A66" s="7" t="s">
        <v>459</v>
      </c>
      <c r="B66" s="12">
        <v>1</v>
      </c>
    </row>
    <row r="67" spans="1:2" x14ac:dyDescent="0.3">
      <c r="A67" s="9" t="s">
        <v>513</v>
      </c>
      <c r="B67" s="15">
        <v>1</v>
      </c>
    </row>
    <row r="68" spans="1:2" x14ac:dyDescent="0.3">
      <c r="A68" s="7" t="s">
        <v>514</v>
      </c>
      <c r="B68" s="12">
        <v>1</v>
      </c>
    </row>
    <row r="69" spans="1:2" x14ac:dyDescent="0.3">
      <c r="A69" s="9" t="s">
        <v>515</v>
      </c>
      <c r="B69" s="15">
        <v>1</v>
      </c>
    </row>
    <row r="70" spans="1:2" x14ac:dyDescent="0.3">
      <c r="A70" s="7" t="s">
        <v>516</v>
      </c>
      <c r="B70" s="12">
        <v>1</v>
      </c>
    </row>
    <row r="71" spans="1:2" x14ac:dyDescent="0.3">
      <c r="A71" s="9" t="s">
        <v>517</v>
      </c>
      <c r="B71" s="15">
        <v>1</v>
      </c>
    </row>
    <row r="72" spans="1:2" x14ac:dyDescent="0.3">
      <c r="A72" s="7" t="s">
        <v>462</v>
      </c>
      <c r="B72" s="12">
        <v>0.97</v>
      </c>
    </row>
    <row r="73" spans="1:2" x14ac:dyDescent="0.3">
      <c r="A73" s="9" t="s">
        <v>518</v>
      </c>
      <c r="B73" s="15">
        <v>0.99</v>
      </c>
    </row>
    <row r="74" spans="1:2" x14ac:dyDescent="0.3">
      <c r="A74" s="7" t="s">
        <v>519</v>
      </c>
      <c r="B74" s="12">
        <v>0.69</v>
      </c>
    </row>
    <row r="75" spans="1:2" x14ac:dyDescent="0.3">
      <c r="A75" s="9" t="s">
        <v>520</v>
      </c>
      <c r="B75" s="15">
        <v>0.67</v>
      </c>
    </row>
    <row r="76" spans="1:2" x14ac:dyDescent="0.3">
      <c r="A76" s="7" t="s">
        <v>521</v>
      </c>
      <c r="B76" s="12">
        <v>0.72</v>
      </c>
    </row>
    <row r="77" spans="1:2" x14ac:dyDescent="0.3">
      <c r="A77" s="9" t="s">
        <v>522</v>
      </c>
      <c r="B77" s="15">
        <v>0.4</v>
      </c>
    </row>
    <row r="79" spans="1:2" ht="19.5" customHeight="1" x14ac:dyDescent="0.3">
      <c r="A79" s="45" t="s">
        <v>527</v>
      </c>
      <c r="B79" s="45"/>
    </row>
    <row r="80" spans="1:2" x14ac:dyDescent="0.3">
      <c r="A80" s="2" t="s">
        <v>103</v>
      </c>
      <c r="B80" s="2" t="s">
        <v>105</v>
      </c>
    </row>
    <row r="81" spans="1:2" x14ac:dyDescent="0.3">
      <c r="A81" s="7" t="s">
        <v>459</v>
      </c>
      <c r="B81" s="11">
        <v>11166</v>
      </c>
    </row>
    <row r="82" spans="1:2" x14ac:dyDescent="0.3">
      <c r="A82" s="9" t="s">
        <v>513</v>
      </c>
      <c r="B82" s="14">
        <v>9234</v>
      </c>
    </row>
    <row r="83" spans="1:2" x14ac:dyDescent="0.3">
      <c r="A83" s="7" t="s">
        <v>514</v>
      </c>
      <c r="B83" s="11">
        <v>1932</v>
      </c>
    </row>
    <row r="84" spans="1:2" x14ac:dyDescent="0.3">
      <c r="A84" s="9" t="s">
        <v>515</v>
      </c>
      <c r="B84" s="14">
        <v>525</v>
      </c>
    </row>
    <row r="85" spans="1:2" x14ac:dyDescent="0.3">
      <c r="A85" s="7" t="s">
        <v>516</v>
      </c>
      <c r="B85" s="11">
        <v>369</v>
      </c>
    </row>
    <row r="86" spans="1:2" x14ac:dyDescent="0.3">
      <c r="A86" s="9" t="s">
        <v>517</v>
      </c>
      <c r="B86" s="14">
        <v>156</v>
      </c>
    </row>
    <row r="87" spans="1:2" x14ac:dyDescent="0.3">
      <c r="A87" s="7" t="s">
        <v>462</v>
      </c>
      <c r="B87" s="11">
        <v>10580</v>
      </c>
    </row>
    <row r="88" spans="1:2" x14ac:dyDescent="0.3">
      <c r="A88" s="9" t="s">
        <v>518</v>
      </c>
      <c r="B88" s="14">
        <v>10136</v>
      </c>
    </row>
    <row r="89" spans="1:2" x14ac:dyDescent="0.3">
      <c r="A89" s="7" t="s">
        <v>519</v>
      </c>
      <c r="B89" s="11">
        <v>444</v>
      </c>
    </row>
    <row r="90" spans="1:2" x14ac:dyDescent="0.3">
      <c r="A90" s="9" t="s">
        <v>520</v>
      </c>
      <c r="B90" s="14">
        <v>15778</v>
      </c>
    </row>
    <row r="91" spans="1:2" x14ac:dyDescent="0.3">
      <c r="A91" s="7" t="s">
        <v>521</v>
      </c>
      <c r="B91" s="11">
        <v>14213</v>
      </c>
    </row>
    <row r="92" spans="1:2" x14ac:dyDescent="0.3">
      <c r="A92" s="9" t="s">
        <v>522</v>
      </c>
      <c r="B92" s="14">
        <v>1565</v>
      </c>
    </row>
    <row r="94" spans="1:2" ht="19.5" customHeight="1" x14ac:dyDescent="0.3">
      <c r="A94" s="45" t="s">
        <v>528</v>
      </c>
      <c r="B94" s="45"/>
    </row>
    <row r="95" spans="1:2" x14ac:dyDescent="0.3">
      <c r="A95" s="2" t="s">
        <v>103</v>
      </c>
      <c r="B95" s="2" t="s">
        <v>105</v>
      </c>
    </row>
    <row r="96" spans="1:2" x14ac:dyDescent="0.3">
      <c r="A96" s="7" t="s">
        <v>459</v>
      </c>
      <c r="B96" s="12">
        <v>1</v>
      </c>
    </row>
    <row r="97" spans="1:2" x14ac:dyDescent="0.3">
      <c r="A97" s="9" t="s">
        <v>513</v>
      </c>
      <c r="B97" s="15">
        <v>1</v>
      </c>
    </row>
    <row r="98" spans="1:2" x14ac:dyDescent="0.3">
      <c r="A98" s="7" t="s">
        <v>514</v>
      </c>
      <c r="B98" s="12">
        <v>1</v>
      </c>
    </row>
    <row r="99" spans="1:2" x14ac:dyDescent="0.3">
      <c r="A99" s="9" t="s">
        <v>515</v>
      </c>
      <c r="B99" s="15">
        <v>1</v>
      </c>
    </row>
    <row r="100" spans="1:2" x14ac:dyDescent="0.3">
      <c r="A100" s="7" t="s">
        <v>516</v>
      </c>
      <c r="B100" s="12">
        <v>1</v>
      </c>
    </row>
    <row r="101" spans="1:2" x14ac:dyDescent="0.3">
      <c r="A101" s="9" t="s">
        <v>517</v>
      </c>
      <c r="B101" s="15">
        <v>1</v>
      </c>
    </row>
    <row r="102" spans="1:2" x14ac:dyDescent="0.3">
      <c r="A102" s="7" t="s">
        <v>462</v>
      </c>
      <c r="B102" s="12">
        <v>0.97</v>
      </c>
    </row>
    <row r="103" spans="1:2" x14ac:dyDescent="0.3">
      <c r="A103" s="9" t="s">
        <v>518</v>
      </c>
      <c r="B103" s="15">
        <v>0.99</v>
      </c>
    </row>
    <row r="104" spans="1:2" x14ac:dyDescent="0.3">
      <c r="A104" s="7" t="s">
        <v>519</v>
      </c>
      <c r="B104" s="12">
        <v>0.65</v>
      </c>
    </row>
    <row r="105" spans="1:2" x14ac:dyDescent="0.3">
      <c r="A105" s="9" t="s">
        <v>520</v>
      </c>
      <c r="B105" s="15">
        <v>0.64</v>
      </c>
    </row>
    <row r="106" spans="1:2" x14ac:dyDescent="0.3">
      <c r="A106" s="7" t="s">
        <v>521</v>
      </c>
      <c r="B106" s="12">
        <v>0.69</v>
      </c>
    </row>
    <row r="107" spans="1:2" x14ac:dyDescent="0.3">
      <c r="A107" s="9" t="s">
        <v>522</v>
      </c>
      <c r="B107" s="15">
        <v>0.38</v>
      </c>
    </row>
  </sheetData>
  <mergeCells count="9">
    <mergeCell ref="A49:B49"/>
    <mergeCell ref="A64:B64"/>
    <mergeCell ref="A79:B79"/>
    <mergeCell ref="A94:B94"/>
    <mergeCell ref="A1:C1"/>
    <mergeCell ref="A2:C2"/>
    <mergeCell ref="A4:C4"/>
    <mergeCell ref="A19:C19"/>
    <mergeCell ref="A34:C34"/>
  </mergeCells>
  <pageMargins left="0.75" right="0.75" top="1" bottom="1" header="0.511811023622047" footer="0.511811023622047"/>
  <pageSetup paperSize="9"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9"/>
  <sheetViews>
    <sheetView showGridLines="0" zoomScaleNormal="100" workbookViewId="0">
      <pane xSplit="1" ySplit="5" topLeftCell="B6" activePane="bottomRight" state="frozen"/>
      <selection pane="topRight" activeCell="B1" sqref="B1"/>
      <selection pane="bottomLeft" activeCell="A6" sqref="A6"/>
      <selection pane="bottomRight" sqref="A1:E1"/>
    </sheetView>
  </sheetViews>
  <sheetFormatPr defaultColWidth="8.6640625" defaultRowHeight="14.4" x14ac:dyDescent="0.3"/>
  <cols>
    <col min="1" max="1" width="34" customWidth="1"/>
    <col min="2" max="2" width="14" customWidth="1"/>
    <col min="3" max="3" width="47" customWidth="1"/>
    <col min="4" max="4" width="14" customWidth="1"/>
    <col min="5" max="5" width="47" customWidth="1"/>
  </cols>
  <sheetData>
    <row r="1" spans="1:5" ht="25.5" customHeight="1" x14ac:dyDescent="0.3">
      <c r="A1" s="42" t="s">
        <v>529</v>
      </c>
      <c r="B1" s="42"/>
      <c r="C1" s="42"/>
      <c r="D1" s="42"/>
      <c r="E1" s="42"/>
    </row>
    <row r="2" spans="1:5" ht="15.75" customHeight="1" x14ac:dyDescent="0.3">
      <c r="A2" s="43" t="s">
        <v>530</v>
      </c>
      <c r="B2" s="43"/>
      <c r="C2" s="43"/>
      <c r="D2" s="43"/>
      <c r="E2" s="43"/>
    </row>
    <row r="4" spans="1:5" ht="30" customHeight="1" x14ac:dyDescent="0.3">
      <c r="A4" s="2"/>
      <c r="B4" s="44" t="s">
        <v>135</v>
      </c>
      <c r="C4" s="44"/>
      <c r="D4" s="44" t="s">
        <v>137</v>
      </c>
      <c r="E4" s="44"/>
    </row>
    <row r="5" spans="1:5" ht="30" customHeight="1" x14ac:dyDescent="0.3">
      <c r="A5" s="2"/>
      <c r="B5" s="2" t="s">
        <v>531</v>
      </c>
      <c r="C5" s="2" t="s">
        <v>532</v>
      </c>
      <c r="D5" s="2" t="s">
        <v>531</v>
      </c>
      <c r="E5" s="2" t="s">
        <v>532</v>
      </c>
    </row>
    <row r="6" spans="1:5" x14ac:dyDescent="0.3">
      <c r="A6" s="7" t="s">
        <v>533</v>
      </c>
      <c r="B6" s="8" t="s">
        <v>534</v>
      </c>
      <c r="C6" s="8" t="s">
        <v>535</v>
      </c>
      <c r="D6" s="8" t="s">
        <v>536</v>
      </c>
      <c r="E6" s="8" t="s">
        <v>537</v>
      </c>
    </row>
    <row r="7" spans="1:5" x14ac:dyDescent="0.3">
      <c r="A7" s="9" t="s">
        <v>538</v>
      </c>
      <c r="B7" s="10" t="s">
        <v>539</v>
      </c>
      <c r="C7" s="10" t="s">
        <v>540</v>
      </c>
      <c r="D7" s="10" t="s">
        <v>91</v>
      </c>
      <c r="E7" s="10" t="s">
        <v>91</v>
      </c>
    </row>
    <row r="8" spans="1:5" x14ac:dyDescent="0.3">
      <c r="A8" s="7" t="s">
        <v>541</v>
      </c>
      <c r="B8" s="8" t="s">
        <v>542</v>
      </c>
      <c r="C8" s="8" t="s">
        <v>543</v>
      </c>
      <c r="D8" s="8" t="s">
        <v>138</v>
      </c>
      <c r="E8" s="8" t="s">
        <v>544</v>
      </c>
    </row>
    <row r="9" spans="1:5" x14ac:dyDescent="0.3">
      <c r="A9" s="9" t="s">
        <v>320</v>
      </c>
      <c r="B9" s="10" t="s">
        <v>181</v>
      </c>
      <c r="C9" s="10" t="s">
        <v>545</v>
      </c>
      <c r="D9" s="10" t="s">
        <v>182</v>
      </c>
      <c r="E9" s="10" t="s">
        <v>546</v>
      </c>
    </row>
  </sheetData>
  <mergeCells count="4">
    <mergeCell ref="A1:E1"/>
    <mergeCell ref="A2:E2"/>
    <mergeCell ref="B4:C4"/>
    <mergeCell ref="D4:E4"/>
  </mergeCells>
  <pageMargins left="0.75" right="0.75" top="1" bottom="1" header="0.511811023622047" footer="0.511811023622047"/>
  <pageSetup paperSize="9"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30"/>
  <sheetViews>
    <sheetView showGridLines="0" zoomScaleNormal="100" workbookViewId="0">
      <selection activeCell="K19" sqref="K19"/>
    </sheetView>
  </sheetViews>
  <sheetFormatPr defaultColWidth="8.6640625" defaultRowHeight="14.4" x14ac:dyDescent="0.3"/>
  <cols>
    <col min="1" max="1" width="34" customWidth="1"/>
    <col min="2" max="2" width="43.88671875" customWidth="1"/>
    <col min="3" max="3" width="11.6640625" bestFit="1" customWidth="1"/>
    <col min="4" max="4" width="14.6640625" bestFit="1" customWidth="1"/>
    <col min="5" max="5" width="15.6640625" bestFit="1" customWidth="1"/>
    <col min="7" max="7" width="30.77734375" bestFit="1" customWidth="1"/>
    <col min="8" max="8" width="26.5546875" bestFit="1" customWidth="1"/>
    <col min="9" max="9" width="28" bestFit="1" customWidth="1"/>
  </cols>
  <sheetData>
    <row r="1" spans="1:9" ht="25.5" customHeight="1" x14ac:dyDescent="0.3">
      <c r="A1" s="42" t="s">
        <v>547</v>
      </c>
      <c r="B1" s="42"/>
    </row>
    <row r="2" spans="1:9" ht="15.75" customHeight="1" x14ac:dyDescent="0.3">
      <c r="A2" s="43" t="s">
        <v>548</v>
      </c>
      <c r="B2" s="43"/>
    </row>
    <row r="4" spans="1:9" ht="19.5" customHeight="1" x14ac:dyDescent="0.3">
      <c r="A4" s="45" t="s">
        <v>549</v>
      </c>
      <c r="B4" s="45"/>
    </row>
    <row r="5" spans="1:9" x14ac:dyDescent="0.3">
      <c r="A5" s="2" t="s">
        <v>103</v>
      </c>
      <c r="B5" s="2" t="s">
        <v>114</v>
      </c>
      <c r="C5" s="2" t="s">
        <v>114</v>
      </c>
      <c r="D5" s="23" t="s">
        <v>781</v>
      </c>
      <c r="E5" t="s">
        <v>781</v>
      </c>
      <c r="G5" s="2" t="s">
        <v>103</v>
      </c>
      <c r="H5" t="s">
        <v>782</v>
      </c>
      <c r="I5" t="s">
        <v>783</v>
      </c>
    </row>
    <row r="6" spans="1:9" x14ac:dyDescent="0.3">
      <c r="A6" s="7" t="s">
        <v>533</v>
      </c>
      <c r="B6" s="11">
        <v>14</v>
      </c>
      <c r="C6" s="11">
        <v>11815000</v>
      </c>
      <c r="D6" s="24">
        <f>C6/B6</f>
        <v>843928.57142857148</v>
      </c>
      <c r="E6" s="24">
        <v>3889954.3333333335</v>
      </c>
      <c r="G6" s="7" t="s">
        <v>533</v>
      </c>
      <c r="H6">
        <v>843928.57142857148</v>
      </c>
      <c r="I6">
        <v>3889954.3333333335</v>
      </c>
    </row>
    <row r="7" spans="1:9" x14ac:dyDescent="0.3">
      <c r="A7" s="9" t="s">
        <v>538</v>
      </c>
      <c r="B7" s="14">
        <v>5</v>
      </c>
      <c r="C7" s="14">
        <v>105361421</v>
      </c>
      <c r="D7" s="24">
        <f t="shared" ref="D7:D9" si="0">C7/B7</f>
        <v>21072284.199999999</v>
      </c>
      <c r="E7" s="24"/>
      <c r="G7" s="9" t="s">
        <v>538</v>
      </c>
      <c r="H7">
        <v>21072284.199999999</v>
      </c>
    </row>
    <row r="8" spans="1:9" ht="26.4" x14ac:dyDescent="0.3">
      <c r="A8" s="7" t="s">
        <v>541</v>
      </c>
      <c r="B8" s="11">
        <v>9357</v>
      </c>
      <c r="C8" s="11">
        <v>1135490</v>
      </c>
      <c r="D8" s="24">
        <f t="shared" si="0"/>
        <v>121.35192903708453</v>
      </c>
      <c r="E8" s="24">
        <v>455.15288461538461</v>
      </c>
      <c r="G8" s="7" t="s">
        <v>541</v>
      </c>
      <c r="H8">
        <v>121.35192903708453</v>
      </c>
      <c r="I8">
        <v>455.15288461538461</v>
      </c>
    </row>
    <row r="9" spans="1:9" x14ac:dyDescent="0.3">
      <c r="A9" s="9" t="s">
        <v>320</v>
      </c>
      <c r="B9" s="14">
        <v>10368</v>
      </c>
      <c r="C9" s="14">
        <v>530593</v>
      </c>
      <c r="D9" s="24">
        <f t="shared" si="0"/>
        <v>51.176022376543209</v>
      </c>
      <c r="E9" s="24">
        <v>330.0497803806735</v>
      </c>
      <c r="G9" s="9" t="s">
        <v>320</v>
      </c>
      <c r="H9">
        <v>51.176022376543209</v>
      </c>
      <c r="I9">
        <v>330.0497803806735</v>
      </c>
    </row>
    <row r="11" spans="1:9" ht="19.5" customHeight="1" x14ac:dyDescent="0.3">
      <c r="A11" s="45" t="s">
        <v>550</v>
      </c>
      <c r="B11" s="45"/>
    </row>
    <row r="12" spans="1:9" x14ac:dyDescent="0.3">
      <c r="A12" s="2" t="s">
        <v>103</v>
      </c>
      <c r="B12" s="2" t="s">
        <v>114</v>
      </c>
      <c r="G12" s="18" t="s">
        <v>769</v>
      </c>
      <c r="H12" t="s">
        <v>784</v>
      </c>
      <c r="I12" t="s">
        <v>785</v>
      </c>
    </row>
    <row r="13" spans="1:9" x14ac:dyDescent="0.3">
      <c r="A13" s="7" t="s">
        <v>533</v>
      </c>
      <c r="B13" s="11">
        <v>11815000</v>
      </c>
      <c r="G13" s="19" t="s">
        <v>533</v>
      </c>
      <c r="H13" s="24">
        <v>843928.57142857148</v>
      </c>
      <c r="I13" s="24">
        <v>3889954.3333333335</v>
      </c>
    </row>
    <row r="14" spans="1:9" x14ac:dyDescent="0.3">
      <c r="A14" s="9" t="s">
        <v>538</v>
      </c>
      <c r="B14" s="14">
        <v>105361421</v>
      </c>
      <c r="G14" s="19" t="s">
        <v>541</v>
      </c>
      <c r="H14" s="24">
        <v>121.35192903708453</v>
      </c>
      <c r="I14" s="24">
        <v>455.15288461538461</v>
      </c>
    </row>
    <row r="15" spans="1:9" x14ac:dyDescent="0.3">
      <c r="A15" s="7" t="s">
        <v>541</v>
      </c>
      <c r="B15" s="11">
        <v>1135490</v>
      </c>
      <c r="G15" s="19" t="s">
        <v>538</v>
      </c>
      <c r="H15" s="24">
        <v>21072284.199999999</v>
      </c>
      <c r="I15" s="24"/>
    </row>
    <row r="16" spans="1:9" x14ac:dyDescent="0.3">
      <c r="A16" s="9" t="s">
        <v>320</v>
      </c>
      <c r="B16" s="14">
        <v>530593</v>
      </c>
      <c r="G16" s="19" t="s">
        <v>320</v>
      </c>
      <c r="H16" s="24">
        <v>51.176022376543209</v>
      </c>
      <c r="I16" s="24">
        <v>330.0497803806735</v>
      </c>
    </row>
    <row r="17" spans="1:9" x14ac:dyDescent="0.3">
      <c r="G17" s="19" t="s">
        <v>770</v>
      </c>
      <c r="H17" s="24">
        <v>21916385.299379986</v>
      </c>
      <c r="I17" s="24">
        <v>3890739.5359983295</v>
      </c>
    </row>
    <row r="18" spans="1:9" ht="19.5" customHeight="1" x14ac:dyDescent="0.3">
      <c r="A18" s="45" t="s">
        <v>551</v>
      </c>
      <c r="B18" s="45"/>
    </row>
    <row r="19" spans="1:9" x14ac:dyDescent="0.3">
      <c r="A19" s="2" t="s">
        <v>103</v>
      </c>
      <c r="B19" s="2" t="s">
        <v>114</v>
      </c>
      <c r="C19" s="2" t="s">
        <v>114</v>
      </c>
      <c r="D19" s="23" t="s">
        <v>781</v>
      </c>
    </row>
    <row r="20" spans="1:9" x14ac:dyDescent="0.3">
      <c r="A20" s="7" t="s">
        <v>533</v>
      </c>
      <c r="B20" s="11">
        <v>3</v>
      </c>
      <c r="C20" s="11">
        <v>11669863</v>
      </c>
      <c r="D20">
        <f>C20/B20</f>
        <v>3889954.3333333335</v>
      </c>
    </row>
    <row r="21" spans="1:9" x14ac:dyDescent="0.3">
      <c r="A21" s="9" t="s">
        <v>538</v>
      </c>
      <c r="B21" s="10"/>
      <c r="C21" s="10"/>
    </row>
    <row r="22" spans="1:9" x14ac:dyDescent="0.3">
      <c r="A22" s="7" t="s">
        <v>541</v>
      </c>
      <c r="B22" s="11">
        <v>2080</v>
      </c>
      <c r="C22" s="11">
        <v>946718</v>
      </c>
      <c r="D22">
        <f t="shared" ref="D22:D23" si="1">C22/B22</f>
        <v>455.15288461538461</v>
      </c>
    </row>
    <row r="23" spans="1:9" x14ac:dyDescent="0.3">
      <c r="A23" s="9" t="s">
        <v>320</v>
      </c>
      <c r="B23" s="14">
        <v>683</v>
      </c>
      <c r="C23" s="14">
        <v>225424</v>
      </c>
      <c r="D23">
        <f t="shared" si="1"/>
        <v>330.0497803806735</v>
      </c>
    </row>
    <row r="25" spans="1:9" ht="19.5" customHeight="1" x14ac:dyDescent="0.3">
      <c r="A25" s="45" t="s">
        <v>552</v>
      </c>
      <c r="B25" s="45"/>
    </row>
    <row r="26" spans="1:9" x14ac:dyDescent="0.3">
      <c r="A26" s="2" t="s">
        <v>103</v>
      </c>
      <c r="B26" s="2" t="s">
        <v>114</v>
      </c>
    </row>
    <row r="27" spans="1:9" x14ac:dyDescent="0.3">
      <c r="A27" s="7" t="s">
        <v>533</v>
      </c>
      <c r="B27" s="11">
        <v>11669863</v>
      </c>
    </row>
    <row r="28" spans="1:9" x14ac:dyDescent="0.3">
      <c r="A28" s="9" t="s">
        <v>538</v>
      </c>
      <c r="B28" s="10"/>
    </row>
    <row r="29" spans="1:9" x14ac:dyDescent="0.3">
      <c r="A29" s="7" t="s">
        <v>541</v>
      </c>
      <c r="B29" s="11">
        <v>946718</v>
      </c>
    </row>
    <row r="30" spans="1:9" x14ac:dyDescent="0.3">
      <c r="A30" s="9" t="s">
        <v>320</v>
      </c>
      <c r="B30" s="14">
        <v>225424</v>
      </c>
    </row>
  </sheetData>
  <mergeCells count="6">
    <mergeCell ref="A25:B25"/>
    <mergeCell ref="A1:B1"/>
    <mergeCell ref="A2:B2"/>
    <mergeCell ref="A4:B4"/>
    <mergeCell ref="A11:B11"/>
    <mergeCell ref="A18:B18"/>
  </mergeCells>
  <pageMargins left="0.75" right="0.75" top="1" bottom="1" header="0.511811023622047" footer="0.511811023622047"/>
  <pageSetup paperSize="9" orientation="portrait" horizontalDpi="300" verticalDpi="30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5"/>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47" customWidth="1"/>
    <col min="2" max="2" width="37" customWidth="1"/>
    <col min="3" max="3" width="38" customWidth="1"/>
  </cols>
  <sheetData>
    <row r="1" spans="1:3" ht="25.5" customHeight="1" x14ac:dyDescent="0.3">
      <c r="A1" s="42" t="s">
        <v>553</v>
      </c>
      <c r="B1" s="42"/>
      <c r="C1" s="42"/>
    </row>
    <row r="2" spans="1:3" ht="15.75" customHeight="1" x14ac:dyDescent="0.3">
      <c r="A2" s="43" t="s">
        <v>530</v>
      </c>
      <c r="B2" s="43"/>
      <c r="C2" s="43"/>
    </row>
    <row r="4" spans="1:3" ht="30" customHeight="1" x14ac:dyDescent="0.3">
      <c r="A4" s="2"/>
      <c r="B4" s="2" t="s">
        <v>206</v>
      </c>
      <c r="C4" s="2" t="s">
        <v>207</v>
      </c>
    </row>
    <row r="5" spans="1:3" ht="26.4" x14ac:dyDescent="0.3">
      <c r="A5" s="7" t="s">
        <v>554</v>
      </c>
      <c r="B5" s="8" t="s">
        <v>555</v>
      </c>
      <c r="C5" s="8" t="s">
        <v>556</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6"/>
  <sheetViews>
    <sheetView showGridLines="0" zoomScaleNormal="100" workbookViewId="0">
      <selection activeCell="D4" sqref="D4"/>
    </sheetView>
  </sheetViews>
  <sheetFormatPr defaultColWidth="8.6640625" defaultRowHeight="14.4" x14ac:dyDescent="0.3"/>
  <cols>
    <col min="1" max="1" width="50" customWidth="1"/>
    <col min="2" max="3" width="14" customWidth="1"/>
    <col min="4" max="4" width="45.109375" bestFit="1" customWidth="1"/>
    <col min="5" max="6" width="16.5546875" bestFit="1" customWidth="1"/>
    <col min="7" max="7" width="10.6640625" bestFit="1" customWidth="1"/>
    <col min="8" max="8" width="16.44140625" bestFit="1" customWidth="1"/>
    <col min="9" max="9" width="10.6640625" bestFit="1" customWidth="1"/>
    <col min="10" max="11" width="21.44140625" bestFit="1" customWidth="1"/>
    <col min="12" max="12" width="21.33203125" bestFit="1" customWidth="1"/>
  </cols>
  <sheetData>
    <row r="1" spans="1:6" ht="25.5" customHeight="1" x14ac:dyDescent="0.3">
      <c r="A1" s="42" t="s">
        <v>557</v>
      </c>
      <c r="B1" s="42"/>
      <c r="C1" s="42"/>
    </row>
    <row r="2" spans="1:6" ht="15.75" customHeight="1" x14ac:dyDescent="0.3">
      <c r="A2" s="43" t="s">
        <v>548</v>
      </c>
      <c r="B2" s="43"/>
      <c r="C2" s="43"/>
    </row>
    <row r="4" spans="1:6" ht="19.5" customHeight="1" x14ac:dyDescent="0.3">
      <c r="A4" s="45" t="s">
        <v>211</v>
      </c>
      <c r="B4" s="45"/>
      <c r="C4" s="45"/>
      <c r="D4" s="18" t="s">
        <v>769</v>
      </c>
      <c r="E4" t="s">
        <v>775</v>
      </c>
      <c r="F4" t="s">
        <v>776</v>
      </c>
    </row>
    <row r="5" spans="1:6" x14ac:dyDescent="0.3">
      <c r="A5" s="2" t="s">
        <v>103</v>
      </c>
      <c r="B5" s="2" t="s">
        <v>104</v>
      </c>
      <c r="C5" s="2" t="s">
        <v>105</v>
      </c>
      <c r="D5" s="19" t="s">
        <v>554</v>
      </c>
      <c r="E5" s="21">
        <v>0.11</v>
      </c>
      <c r="F5" s="21">
        <v>0.1</v>
      </c>
    </row>
    <row r="6" spans="1:6" x14ac:dyDescent="0.3">
      <c r="A6" s="7" t="s">
        <v>554</v>
      </c>
      <c r="B6" s="12">
        <v>0.11</v>
      </c>
      <c r="C6" s="12">
        <v>0.1</v>
      </c>
      <c r="D6" s="19" t="s">
        <v>770</v>
      </c>
      <c r="E6" s="21">
        <v>0.11</v>
      </c>
      <c r="F6" s="21">
        <v>0.1</v>
      </c>
    </row>
  </sheetData>
  <mergeCells count="3">
    <mergeCell ref="A1:C1"/>
    <mergeCell ref="A2:C2"/>
    <mergeCell ref="A4:C4"/>
  </mergeCells>
  <pageMargins left="0.75" right="0.75" top="1" bottom="1" header="0.511811023622047" footer="0.511811023622047"/>
  <pageSetup paperSize="9" orientation="portrait" horizontalDpi="300" verticalDpi="30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11"/>
  <sheetViews>
    <sheetView showGridLines="0" zoomScaleNormal="100" workbookViewId="0">
      <pane xSplit="1" ySplit="5" topLeftCell="B6" activePane="bottomRight" state="frozen"/>
      <selection pane="topRight" activeCell="B1" sqref="B1"/>
      <selection pane="bottomLeft" activeCell="A6" sqref="A6"/>
      <selection pane="bottomRight" sqref="A1:G1"/>
    </sheetView>
  </sheetViews>
  <sheetFormatPr defaultColWidth="8.6640625" defaultRowHeight="14.4" x14ac:dyDescent="0.3"/>
  <cols>
    <col min="1" max="1" width="35" customWidth="1"/>
    <col min="2" max="2" width="37" customWidth="1"/>
    <col min="3" max="3" width="39" customWidth="1"/>
    <col min="4" max="4" width="14" customWidth="1"/>
    <col min="5" max="5" width="38" customWidth="1"/>
    <col min="6" max="6" width="39" customWidth="1"/>
    <col min="7" max="7" width="14" customWidth="1"/>
  </cols>
  <sheetData>
    <row r="1" spans="1:7" ht="25.5" customHeight="1" x14ac:dyDescent="0.3">
      <c r="A1" s="42" t="s">
        <v>558</v>
      </c>
      <c r="B1" s="42"/>
      <c r="C1" s="42"/>
      <c r="D1" s="42"/>
      <c r="E1" s="42"/>
      <c r="F1" s="42"/>
      <c r="G1" s="42"/>
    </row>
    <row r="2" spans="1:7" ht="15.75" customHeight="1" x14ac:dyDescent="0.3">
      <c r="A2" s="43" t="s">
        <v>559</v>
      </c>
      <c r="B2" s="43"/>
      <c r="C2" s="43"/>
      <c r="D2" s="43"/>
      <c r="E2" s="43"/>
      <c r="F2" s="43"/>
      <c r="G2" s="43"/>
    </row>
    <row r="4" spans="1:7" ht="30" customHeight="1" x14ac:dyDescent="0.3">
      <c r="A4" s="2"/>
      <c r="B4" s="44" t="s">
        <v>206</v>
      </c>
      <c r="C4" s="44"/>
      <c r="D4" s="44"/>
      <c r="E4" s="44" t="s">
        <v>207</v>
      </c>
      <c r="F4" s="44"/>
      <c r="G4" s="44"/>
    </row>
    <row r="5" spans="1:7" ht="30" customHeight="1" x14ac:dyDescent="0.3">
      <c r="A5" s="2"/>
      <c r="B5" s="2" t="s">
        <v>397</v>
      </c>
      <c r="C5" s="2" t="s">
        <v>398</v>
      </c>
      <c r="D5" s="2" t="s">
        <v>399</v>
      </c>
      <c r="E5" s="2" t="s">
        <v>397</v>
      </c>
      <c r="F5" s="2" t="s">
        <v>398</v>
      </c>
      <c r="G5" s="2" t="s">
        <v>399</v>
      </c>
    </row>
    <row r="6" spans="1:7" x14ac:dyDescent="0.3">
      <c r="A6" s="7" t="s">
        <v>560</v>
      </c>
      <c r="B6" s="8" t="s">
        <v>539</v>
      </c>
      <c r="C6" s="8" t="s">
        <v>258</v>
      </c>
      <c r="D6" s="8" t="s">
        <v>91</v>
      </c>
      <c r="E6" s="8" t="s">
        <v>381</v>
      </c>
      <c r="F6" s="8" t="s">
        <v>379</v>
      </c>
      <c r="G6" s="8" t="s">
        <v>91</v>
      </c>
    </row>
    <row r="7" spans="1:7" x14ac:dyDescent="0.3">
      <c r="A7" s="9" t="s">
        <v>561</v>
      </c>
      <c r="B7" s="10" t="s">
        <v>258</v>
      </c>
      <c r="C7" s="10" t="s">
        <v>258</v>
      </c>
      <c r="D7" s="10" t="s">
        <v>91</v>
      </c>
      <c r="E7" s="10" t="s">
        <v>258</v>
      </c>
      <c r="F7" s="10" t="s">
        <v>258</v>
      </c>
      <c r="G7" s="10" t="s">
        <v>91</v>
      </c>
    </row>
    <row r="8" spans="1:7" x14ac:dyDescent="0.3">
      <c r="A8" s="7" t="s">
        <v>562</v>
      </c>
      <c r="B8" s="8" t="s">
        <v>258</v>
      </c>
      <c r="C8" s="8" t="s">
        <v>258</v>
      </c>
      <c r="D8" s="8" t="s">
        <v>91</v>
      </c>
      <c r="E8" s="8" t="s">
        <v>258</v>
      </c>
      <c r="F8" s="8" t="s">
        <v>258</v>
      </c>
      <c r="G8" s="8" t="s">
        <v>91</v>
      </c>
    </row>
    <row r="9" spans="1:7" x14ac:dyDescent="0.3">
      <c r="A9" s="9" t="s">
        <v>563</v>
      </c>
      <c r="B9" s="10" t="s">
        <v>258</v>
      </c>
      <c r="C9" s="10" t="s">
        <v>258</v>
      </c>
      <c r="D9" s="10" t="s">
        <v>91</v>
      </c>
      <c r="E9" s="10" t="s">
        <v>258</v>
      </c>
      <c r="F9" s="10" t="s">
        <v>258</v>
      </c>
      <c r="G9" s="10" t="s">
        <v>91</v>
      </c>
    </row>
    <row r="10" spans="1:7" x14ac:dyDescent="0.3">
      <c r="A10" s="7" t="s">
        <v>564</v>
      </c>
      <c r="B10" s="8" t="s">
        <v>258</v>
      </c>
      <c r="C10" s="8" t="s">
        <v>258</v>
      </c>
      <c r="D10" s="8" t="s">
        <v>91</v>
      </c>
      <c r="E10" s="8" t="s">
        <v>258</v>
      </c>
      <c r="F10" s="8" t="s">
        <v>258</v>
      </c>
      <c r="G10" s="8" t="s">
        <v>91</v>
      </c>
    </row>
    <row r="11" spans="1:7" x14ac:dyDescent="0.3">
      <c r="A11" s="9" t="s">
        <v>565</v>
      </c>
      <c r="B11" s="10" t="s">
        <v>258</v>
      </c>
      <c r="C11" s="10" t="s">
        <v>258</v>
      </c>
      <c r="D11" s="10" t="s">
        <v>91</v>
      </c>
      <c r="E11" s="10" t="s">
        <v>258</v>
      </c>
      <c r="F11" s="10" t="s">
        <v>258</v>
      </c>
      <c r="G11" s="10" t="s">
        <v>91</v>
      </c>
    </row>
  </sheetData>
  <mergeCells count="4">
    <mergeCell ref="A1:G1"/>
    <mergeCell ref="A2:G2"/>
    <mergeCell ref="B4:D4"/>
    <mergeCell ref="E4:G4"/>
  </mergeCells>
  <pageMargins left="0.75" right="0.75" top="1" bottom="1" header="0.511811023622047" footer="0.511811023622047"/>
  <pageSetup paperSize="9"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20"/>
  <sheetViews>
    <sheetView showGridLines="0" zoomScaleNormal="100" workbookViewId="0">
      <selection sqref="A1:C1"/>
    </sheetView>
  </sheetViews>
  <sheetFormatPr defaultColWidth="8.6640625" defaultRowHeight="14.4" x14ac:dyDescent="0.3"/>
  <cols>
    <col min="1" max="1" width="35" customWidth="1"/>
    <col min="2" max="3" width="14" customWidth="1"/>
  </cols>
  <sheetData>
    <row r="1" spans="1:3" ht="25.5" customHeight="1" x14ac:dyDescent="0.3">
      <c r="A1" s="42" t="s">
        <v>566</v>
      </c>
      <c r="B1" s="42"/>
      <c r="C1" s="42"/>
    </row>
    <row r="2" spans="1:3" ht="15.75" customHeight="1" x14ac:dyDescent="0.3">
      <c r="A2" s="43" t="s">
        <v>567</v>
      </c>
      <c r="B2" s="43"/>
      <c r="C2" s="43"/>
    </row>
    <row r="4" spans="1:3" ht="19.5" customHeight="1" x14ac:dyDescent="0.3">
      <c r="A4" s="45" t="s">
        <v>403</v>
      </c>
      <c r="B4" s="45"/>
      <c r="C4" s="45"/>
    </row>
    <row r="5" spans="1:3" x14ac:dyDescent="0.3">
      <c r="A5" s="2" t="s">
        <v>103</v>
      </c>
      <c r="B5" s="2" t="s">
        <v>104</v>
      </c>
      <c r="C5" s="2" t="s">
        <v>105</v>
      </c>
    </row>
    <row r="6" spans="1:3" x14ac:dyDescent="0.3">
      <c r="A6" s="7" t="s">
        <v>560</v>
      </c>
      <c r="B6" s="11">
        <v>5</v>
      </c>
      <c r="C6" s="11">
        <v>4</v>
      </c>
    </row>
    <row r="7" spans="1:3" x14ac:dyDescent="0.3">
      <c r="A7" s="9" t="s">
        <v>561</v>
      </c>
      <c r="B7" s="14">
        <v>0</v>
      </c>
      <c r="C7" s="14">
        <v>0</v>
      </c>
    </row>
    <row r="8" spans="1:3" x14ac:dyDescent="0.3">
      <c r="A8" s="7" t="s">
        <v>562</v>
      </c>
      <c r="B8" s="11">
        <v>0</v>
      </c>
      <c r="C8" s="11">
        <v>0</v>
      </c>
    </row>
    <row r="9" spans="1:3" x14ac:dyDescent="0.3">
      <c r="A9" s="9" t="s">
        <v>563</v>
      </c>
      <c r="B9" s="14">
        <v>0</v>
      </c>
      <c r="C9" s="14">
        <v>0</v>
      </c>
    </row>
    <row r="10" spans="1:3" x14ac:dyDescent="0.3">
      <c r="A10" s="7" t="s">
        <v>564</v>
      </c>
      <c r="B10" s="11">
        <v>0</v>
      </c>
      <c r="C10" s="11">
        <v>0</v>
      </c>
    </row>
    <row r="11" spans="1:3" x14ac:dyDescent="0.3">
      <c r="A11" s="9" t="s">
        <v>565</v>
      </c>
      <c r="B11" s="14">
        <v>0</v>
      </c>
      <c r="C11" s="14">
        <v>0</v>
      </c>
    </row>
    <row r="13" spans="1:3" ht="19.5" customHeight="1" x14ac:dyDescent="0.3">
      <c r="A13" s="45" t="s">
        <v>404</v>
      </c>
      <c r="B13" s="45"/>
      <c r="C13" s="45"/>
    </row>
    <row r="14" spans="1:3" x14ac:dyDescent="0.3">
      <c r="A14" s="2" t="s">
        <v>103</v>
      </c>
      <c r="B14" s="2" t="s">
        <v>104</v>
      </c>
      <c r="C14" s="2" t="s">
        <v>105</v>
      </c>
    </row>
    <row r="15" spans="1:3" x14ac:dyDescent="0.3">
      <c r="A15" s="7" t="s">
        <v>560</v>
      </c>
      <c r="B15" s="11">
        <v>0</v>
      </c>
      <c r="C15" s="11">
        <v>1</v>
      </c>
    </row>
    <row r="16" spans="1:3" x14ac:dyDescent="0.3">
      <c r="A16" s="9" t="s">
        <v>561</v>
      </c>
      <c r="B16" s="14">
        <v>0</v>
      </c>
      <c r="C16" s="14">
        <v>0</v>
      </c>
    </row>
    <row r="17" spans="1:3" x14ac:dyDescent="0.3">
      <c r="A17" s="7" t="s">
        <v>562</v>
      </c>
      <c r="B17" s="11">
        <v>0</v>
      </c>
      <c r="C17" s="11">
        <v>0</v>
      </c>
    </row>
    <row r="18" spans="1:3" x14ac:dyDescent="0.3">
      <c r="A18" s="9" t="s">
        <v>563</v>
      </c>
      <c r="B18" s="14">
        <v>0</v>
      </c>
      <c r="C18" s="14">
        <v>0</v>
      </c>
    </row>
    <row r="19" spans="1:3" x14ac:dyDescent="0.3">
      <c r="A19" s="7" t="s">
        <v>564</v>
      </c>
      <c r="B19" s="11">
        <v>0</v>
      </c>
      <c r="C19" s="11">
        <v>0</v>
      </c>
    </row>
    <row r="20" spans="1:3" x14ac:dyDescent="0.3">
      <c r="A20" s="9" t="s">
        <v>565</v>
      </c>
      <c r="B20" s="14">
        <v>0</v>
      </c>
      <c r="C20" s="14">
        <v>0</v>
      </c>
    </row>
  </sheetData>
  <mergeCells count="4">
    <mergeCell ref="A1:C1"/>
    <mergeCell ref="A2:C2"/>
    <mergeCell ref="A4:C4"/>
    <mergeCell ref="A13:C13"/>
  </mergeCells>
  <pageMargins left="0.75" right="0.75" top="1" bottom="1" header="0.511811023622047" footer="0.511811023622047"/>
  <pageSetup paperSize="9"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7"/>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47" customWidth="1"/>
    <col min="2" max="2" width="37" customWidth="1"/>
    <col min="3" max="3" width="38" customWidth="1"/>
  </cols>
  <sheetData>
    <row r="1" spans="1:3" ht="25.5" customHeight="1" x14ac:dyDescent="0.3">
      <c r="A1" s="42" t="s">
        <v>568</v>
      </c>
      <c r="B1" s="42"/>
      <c r="C1" s="42"/>
    </row>
    <row r="2" spans="1:3" ht="15.75" customHeight="1" x14ac:dyDescent="0.3">
      <c r="A2" s="43" t="s">
        <v>559</v>
      </c>
      <c r="B2" s="43"/>
      <c r="C2" s="43"/>
    </row>
    <row r="4" spans="1:3" ht="30" customHeight="1" x14ac:dyDescent="0.3">
      <c r="A4" s="2"/>
      <c r="B4" s="2" t="s">
        <v>206</v>
      </c>
      <c r="C4" s="2" t="s">
        <v>207</v>
      </c>
    </row>
    <row r="5" spans="1:3" ht="52.8" x14ac:dyDescent="0.3">
      <c r="A5" s="7" t="s">
        <v>569</v>
      </c>
      <c r="B5" s="8" t="s">
        <v>539</v>
      </c>
      <c r="C5" s="8" t="s">
        <v>539</v>
      </c>
    </row>
    <row r="6" spans="1:3" ht="26.4" x14ac:dyDescent="0.3">
      <c r="A6" s="9" t="s">
        <v>570</v>
      </c>
      <c r="B6" s="10" t="s">
        <v>571</v>
      </c>
      <c r="C6" s="10" t="s">
        <v>572</v>
      </c>
    </row>
    <row r="7" spans="1:3" x14ac:dyDescent="0.3">
      <c r="A7" s="7" t="s">
        <v>573</v>
      </c>
      <c r="B7" s="8" t="s">
        <v>539</v>
      </c>
      <c r="C7" s="8" t="s">
        <v>381</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8"/>
  <sheetViews>
    <sheetView showGridLines="0" zoomScaleNormal="100" workbookViewId="0">
      <selection sqref="A1:C1"/>
    </sheetView>
  </sheetViews>
  <sheetFormatPr defaultColWidth="8.6640625" defaultRowHeight="14.4" x14ac:dyDescent="0.3"/>
  <cols>
    <col min="1" max="1" width="50" customWidth="1"/>
    <col min="2" max="3" width="14" customWidth="1"/>
  </cols>
  <sheetData>
    <row r="1" spans="1:3" ht="25.5" customHeight="1" x14ac:dyDescent="0.3">
      <c r="A1" s="42" t="s">
        <v>574</v>
      </c>
      <c r="B1" s="42"/>
      <c r="C1" s="42"/>
    </row>
    <row r="2" spans="1:3" ht="15.75" customHeight="1" x14ac:dyDescent="0.3">
      <c r="A2" s="43" t="s">
        <v>567</v>
      </c>
      <c r="B2" s="43"/>
      <c r="C2" s="43"/>
    </row>
    <row r="4" spans="1:3" ht="19.5" customHeight="1" x14ac:dyDescent="0.3">
      <c r="A4" s="45" t="s">
        <v>211</v>
      </c>
      <c r="B4" s="45"/>
      <c r="C4" s="45"/>
    </row>
    <row r="5" spans="1:3" x14ac:dyDescent="0.3">
      <c r="A5" s="2" t="s">
        <v>103</v>
      </c>
      <c r="B5" s="2" t="s">
        <v>104</v>
      </c>
      <c r="C5" s="2" t="s">
        <v>105</v>
      </c>
    </row>
    <row r="6" spans="1:3" ht="39.6" x14ac:dyDescent="0.3">
      <c r="A6" s="7" t="s">
        <v>569</v>
      </c>
      <c r="B6" s="12">
        <v>0.05</v>
      </c>
      <c r="C6" s="12">
        <v>0.05</v>
      </c>
    </row>
    <row r="7" spans="1:3" ht="26.4" x14ac:dyDescent="0.3">
      <c r="A7" s="9" t="s">
        <v>570</v>
      </c>
      <c r="B7" s="15">
        <v>6.9999999999999999E-4</v>
      </c>
      <c r="C7" s="15">
        <v>8.0000000000000004E-4</v>
      </c>
    </row>
    <row r="8" spans="1:3" x14ac:dyDescent="0.3">
      <c r="A8" s="7" t="s">
        <v>573</v>
      </c>
      <c r="B8" s="12">
        <v>0.05</v>
      </c>
      <c r="C8" s="12">
        <v>0.04</v>
      </c>
    </row>
  </sheetData>
  <mergeCells count="3">
    <mergeCell ref="A1:C1"/>
    <mergeCell ref="A2:C2"/>
    <mergeCell ref="A4:C4"/>
  </mergeCells>
  <pageMargins left="0.75" right="0.75" top="1" bottom="1" header="0.511811023622047" footer="0.511811023622047"/>
  <pageSetup paperSize="9"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0"/>
  <sheetViews>
    <sheetView showGridLines="0" zoomScaleNormal="100" workbookViewId="0">
      <pane xSplit="1" ySplit="4" topLeftCell="B5" activePane="bottomRight" state="frozen"/>
      <selection pane="topRight" activeCell="B1" sqref="B1"/>
      <selection pane="bottomLeft" activeCell="A5" sqref="A5"/>
      <selection pane="bottomRight" sqref="A1:B1"/>
    </sheetView>
  </sheetViews>
  <sheetFormatPr defaultColWidth="8.6640625" defaultRowHeight="14.4" x14ac:dyDescent="0.3"/>
  <cols>
    <col min="1" max="1" width="30" customWidth="1"/>
    <col min="2" max="2" width="47" customWidth="1"/>
  </cols>
  <sheetData>
    <row r="1" spans="1:2" ht="25.5" customHeight="1" x14ac:dyDescent="0.3">
      <c r="A1" s="42" t="s">
        <v>575</v>
      </c>
      <c r="B1" s="42"/>
    </row>
    <row r="2" spans="1:2" ht="15.75" customHeight="1" x14ac:dyDescent="0.3">
      <c r="A2" s="43" t="s">
        <v>559</v>
      </c>
      <c r="B2" s="43"/>
    </row>
    <row r="4" spans="1:2" ht="30" customHeight="1" x14ac:dyDescent="0.3">
      <c r="A4" s="2"/>
      <c r="B4" s="2" t="s">
        <v>576</v>
      </c>
    </row>
    <row r="5" spans="1:2" x14ac:dyDescent="0.3">
      <c r="A5" s="7" t="s">
        <v>577</v>
      </c>
      <c r="B5" s="8" t="s">
        <v>111</v>
      </c>
    </row>
    <row r="6" spans="1:2" x14ac:dyDescent="0.3">
      <c r="A6" s="9" t="s">
        <v>578</v>
      </c>
      <c r="B6" s="10" t="s">
        <v>111</v>
      </c>
    </row>
    <row r="7" spans="1:2" x14ac:dyDescent="0.3">
      <c r="A7" s="7" t="s">
        <v>560</v>
      </c>
      <c r="B7" s="8" t="s">
        <v>111</v>
      </c>
    </row>
    <row r="8" spans="1:2" x14ac:dyDescent="0.3">
      <c r="A8" s="9" t="s">
        <v>561</v>
      </c>
      <c r="B8" s="10" t="s">
        <v>111</v>
      </c>
    </row>
    <row r="9" spans="1:2" x14ac:dyDescent="0.3">
      <c r="A9" s="7" t="s">
        <v>564</v>
      </c>
      <c r="B9" s="8" t="s">
        <v>111</v>
      </c>
    </row>
    <row r="10" spans="1:2" x14ac:dyDescent="0.3">
      <c r="A10" s="9" t="s">
        <v>579</v>
      </c>
      <c r="B10" s="10" t="s">
        <v>91</v>
      </c>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1"/>
  <sheetViews>
    <sheetView showGridLines="0" zoomScaleNormal="100" workbookViewId="0">
      <selection sqref="A1:B1"/>
    </sheetView>
  </sheetViews>
  <sheetFormatPr defaultColWidth="8.6640625" defaultRowHeight="14.4" x14ac:dyDescent="0.3"/>
  <cols>
    <col min="1" max="1" width="29" customWidth="1"/>
    <col min="2" max="2" width="14" customWidth="1"/>
  </cols>
  <sheetData>
    <row r="1" spans="1:2" ht="25.5" customHeight="1" x14ac:dyDescent="0.3">
      <c r="A1" s="42" t="s">
        <v>580</v>
      </c>
      <c r="B1" s="42"/>
    </row>
    <row r="2" spans="1:2" ht="15.75" customHeight="1" x14ac:dyDescent="0.3">
      <c r="A2" s="43" t="s">
        <v>567</v>
      </c>
      <c r="B2" s="43"/>
    </row>
    <row r="4" spans="1:2" ht="19.5" customHeight="1" x14ac:dyDescent="0.3">
      <c r="A4" s="45" t="s">
        <v>581</v>
      </c>
      <c r="B4" s="45"/>
    </row>
    <row r="5" spans="1:2" x14ac:dyDescent="0.3">
      <c r="A5" s="2" t="s">
        <v>103</v>
      </c>
      <c r="B5" s="2" t="s">
        <v>114</v>
      </c>
    </row>
    <row r="6" spans="1:2" x14ac:dyDescent="0.3">
      <c r="A6" s="7" t="s">
        <v>577</v>
      </c>
      <c r="B6" s="12">
        <v>1</v>
      </c>
    </row>
    <row r="7" spans="1:2" x14ac:dyDescent="0.3">
      <c r="A7" s="9" t="s">
        <v>578</v>
      </c>
      <c r="B7" s="15">
        <v>1</v>
      </c>
    </row>
    <row r="8" spans="1:2" x14ac:dyDescent="0.3">
      <c r="A8" s="7" t="s">
        <v>560</v>
      </c>
      <c r="B8" s="12">
        <v>1</v>
      </c>
    </row>
    <row r="9" spans="1:2" x14ac:dyDescent="0.3">
      <c r="A9" s="9" t="s">
        <v>561</v>
      </c>
      <c r="B9" s="15">
        <v>1</v>
      </c>
    </row>
    <row r="10" spans="1:2" x14ac:dyDescent="0.3">
      <c r="A10" s="7" t="s">
        <v>564</v>
      </c>
      <c r="B10" s="12">
        <v>1</v>
      </c>
    </row>
    <row r="11" spans="1:2" x14ac:dyDescent="0.3">
      <c r="A11" s="9" t="s">
        <v>579</v>
      </c>
      <c r="B11" s="10"/>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0"/>
  <sheetViews>
    <sheetView showGridLines="0" zoomScaleNormal="100" workbookViewId="0">
      <pane xSplit="1" ySplit="4" topLeftCell="B5" activePane="bottomRight" state="frozen"/>
      <selection pane="topRight" activeCell="B1" sqref="B1"/>
      <selection pane="bottomLeft" activeCell="A5" sqref="A5"/>
      <selection pane="bottomRight" sqref="A1:B1"/>
    </sheetView>
  </sheetViews>
  <sheetFormatPr defaultColWidth="8.6640625" defaultRowHeight="14.4" x14ac:dyDescent="0.3"/>
  <cols>
    <col min="1" max="1" width="34" customWidth="1"/>
    <col min="2" max="2" width="47" customWidth="1"/>
  </cols>
  <sheetData>
    <row r="1" spans="1:2" ht="25.5" customHeight="1" x14ac:dyDescent="0.3">
      <c r="A1" s="42" t="s">
        <v>582</v>
      </c>
      <c r="B1" s="42"/>
    </row>
    <row r="2" spans="1:2" ht="15.75" customHeight="1" x14ac:dyDescent="0.3">
      <c r="A2" s="43" t="s">
        <v>583</v>
      </c>
      <c r="B2" s="43"/>
    </row>
    <row r="4" spans="1:2" ht="30" customHeight="1" x14ac:dyDescent="0.3">
      <c r="A4" s="2"/>
      <c r="B4" s="2" t="s">
        <v>420</v>
      </c>
    </row>
    <row r="5" spans="1:2" ht="30" customHeight="1" x14ac:dyDescent="0.3">
      <c r="A5" s="7" t="s">
        <v>560</v>
      </c>
      <c r="B5" s="16" t="s">
        <v>421</v>
      </c>
    </row>
    <row r="6" spans="1:2" x14ac:dyDescent="0.3">
      <c r="A6" s="13" t="s">
        <v>561</v>
      </c>
      <c r="B6" s="1"/>
    </row>
    <row r="7" spans="1:2" x14ac:dyDescent="0.3">
      <c r="A7" s="13" t="s">
        <v>562</v>
      </c>
      <c r="B7" s="1"/>
    </row>
    <row r="8" spans="1:2" x14ac:dyDescent="0.3">
      <c r="A8" s="13" t="s">
        <v>584</v>
      </c>
      <c r="B8" s="1"/>
    </row>
    <row r="9" spans="1:2" x14ac:dyDescent="0.3">
      <c r="A9" s="13" t="s">
        <v>564</v>
      </c>
      <c r="B9" s="1"/>
    </row>
    <row r="10" spans="1:2" x14ac:dyDescent="0.3">
      <c r="A10" s="13" t="s">
        <v>585</v>
      </c>
      <c r="B10" s="1"/>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6"/>
  <sheetViews>
    <sheetView showGridLines="0" zoomScaleNormal="100" workbookViewId="0">
      <selection sqref="A1:B1"/>
    </sheetView>
  </sheetViews>
  <sheetFormatPr defaultColWidth="8.6640625" defaultRowHeight="14.4" x14ac:dyDescent="0.3"/>
  <cols>
    <col min="1" max="1" width="19" customWidth="1"/>
    <col min="2" max="2" width="14" customWidth="1"/>
  </cols>
  <sheetData>
    <row r="1" spans="1:2" ht="25.5" customHeight="1" x14ac:dyDescent="0.3">
      <c r="A1" s="42" t="s">
        <v>586</v>
      </c>
      <c r="B1" s="42"/>
    </row>
    <row r="2" spans="1:2" ht="15.75" customHeight="1" x14ac:dyDescent="0.3">
      <c r="A2" s="43" t="s">
        <v>587</v>
      </c>
      <c r="B2" s="43"/>
    </row>
    <row r="4" spans="1:2" ht="19.5" customHeight="1" x14ac:dyDescent="0.3">
      <c r="A4" s="45" t="s">
        <v>424</v>
      </c>
      <c r="B4" s="45"/>
    </row>
    <row r="5" spans="1:2" x14ac:dyDescent="0.3">
      <c r="A5" s="2" t="s">
        <v>103</v>
      </c>
      <c r="B5" s="2" t="s">
        <v>114</v>
      </c>
    </row>
    <row r="6" spans="1:2" x14ac:dyDescent="0.3">
      <c r="A6" s="7" t="s">
        <v>560</v>
      </c>
      <c r="B6" s="12">
        <v>0.13</v>
      </c>
    </row>
  </sheetData>
  <mergeCells count="3">
    <mergeCell ref="A1:B1"/>
    <mergeCell ref="A2:B2"/>
    <mergeCell ref="A4:B4"/>
  </mergeCells>
  <pageMargins left="0.75" right="0.75" top="1" bottom="1" header="0.511811023622047" footer="0.511811023622047"/>
  <pageSetup paperSize="9"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F3"/>
  <sheetViews>
    <sheetView showGridLines="0" zoomScaleNormal="100" workbookViewId="0"/>
  </sheetViews>
  <sheetFormatPr defaultColWidth="8.6640625" defaultRowHeight="14.4" x14ac:dyDescent="0.3"/>
  <cols>
    <col min="1" max="6" width="18" customWidth="1"/>
  </cols>
  <sheetData>
    <row r="1" spans="1:6" ht="60" customHeight="1" x14ac:dyDescent="0.3">
      <c r="A1" s="46" t="s">
        <v>70</v>
      </c>
      <c r="B1" s="46"/>
      <c r="C1" s="46"/>
      <c r="D1" s="46"/>
      <c r="E1" s="46"/>
      <c r="F1" s="46"/>
    </row>
    <row r="2" spans="1:6" x14ac:dyDescent="0.3">
      <c r="A2" s="46"/>
      <c r="B2" s="46"/>
      <c r="C2" s="46"/>
      <c r="D2" s="46"/>
      <c r="E2" s="46"/>
      <c r="F2" s="46"/>
    </row>
    <row r="3" spans="1:6" x14ac:dyDescent="0.3">
      <c r="A3" s="46"/>
      <c r="B3" s="46"/>
      <c r="C3" s="46"/>
      <c r="D3" s="46"/>
      <c r="E3" s="46"/>
      <c r="F3" s="46"/>
    </row>
  </sheetData>
  <mergeCells count="1">
    <mergeCell ref="A1:F3"/>
  </mergeCells>
  <pageMargins left="0.75" right="0.75" top="1" bottom="1" header="0.511811023622047" footer="0.511811023622047"/>
  <pageSetup paperSize="9"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9"/>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47" customWidth="1"/>
    <col min="2" max="2" width="37" customWidth="1"/>
    <col min="3" max="3" width="38" customWidth="1"/>
  </cols>
  <sheetData>
    <row r="1" spans="1:3" ht="25.5" customHeight="1" x14ac:dyDescent="0.3">
      <c r="A1" s="42" t="s">
        <v>588</v>
      </c>
      <c r="B1" s="42"/>
      <c r="C1" s="42"/>
    </row>
    <row r="2" spans="1:3" ht="15.75" customHeight="1" x14ac:dyDescent="0.3">
      <c r="A2" s="43" t="s">
        <v>589</v>
      </c>
      <c r="B2" s="43"/>
      <c r="C2" s="43"/>
    </row>
    <row r="4" spans="1:3" ht="30" customHeight="1" x14ac:dyDescent="0.3">
      <c r="A4" s="2" t="s">
        <v>590</v>
      </c>
      <c r="B4" s="2" t="s">
        <v>206</v>
      </c>
      <c r="C4" s="2" t="s">
        <v>207</v>
      </c>
    </row>
    <row r="5" spans="1:3" x14ac:dyDescent="0.3">
      <c r="A5" s="13" t="s">
        <v>591</v>
      </c>
      <c r="B5" s="47"/>
      <c r="C5" s="47"/>
    </row>
    <row r="6" spans="1:3" x14ac:dyDescent="0.3">
      <c r="A6" s="9" t="s">
        <v>592</v>
      </c>
      <c r="B6" s="10" t="s">
        <v>593</v>
      </c>
      <c r="C6" s="10" t="s">
        <v>594</v>
      </c>
    </row>
    <row r="7" spans="1:3" x14ac:dyDescent="0.3">
      <c r="A7" s="7" t="s">
        <v>595</v>
      </c>
      <c r="B7" s="8" t="s">
        <v>596</v>
      </c>
      <c r="C7" s="8" t="s">
        <v>597</v>
      </c>
    </row>
    <row r="8" spans="1:3" x14ac:dyDescent="0.3">
      <c r="A8" s="9" t="s">
        <v>598</v>
      </c>
      <c r="B8" s="10" t="s">
        <v>599</v>
      </c>
      <c r="C8" s="10" t="s">
        <v>600</v>
      </c>
    </row>
    <row r="9" spans="1:3" ht="26.4" x14ac:dyDescent="0.3">
      <c r="A9" s="7" t="s">
        <v>601</v>
      </c>
      <c r="B9" s="8" t="s">
        <v>602</v>
      </c>
      <c r="C9" s="8" t="s">
        <v>603</v>
      </c>
    </row>
    <row r="10" spans="1:3" x14ac:dyDescent="0.3">
      <c r="A10" s="13" t="s">
        <v>604</v>
      </c>
      <c r="B10" s="47"/>
      <c r="C10" s="47"/>
    </row>
    <row r="11" spans="1:3" x14ac:dyDescent="0.3">
      <c r="A11" s="7" t="s">
        <v>605</v>
      </c>
      <c r="B11" s="8" t="s">
        <v>606</v>
      </c>
      <c r="C11" s="8" t="s">
        <v>607</v>
      </c>
    </row>
    <row r="12" spans="1:3" x14ac:dyDescent="0.3">
      <c r="A12" s="9" t="s">
        <v>608</v>
      </c>
      <c r="B12" s="10" t="s">
        <v>609</v>
      </c>
      <c r="C12" s="10" t="s">
        <v>610</v>
      </c>
    </row>
    <row r="13" spans="1:3" x14ac:dyDescent="0.3">
      <c r="A13" s="7" t="s">
        <v>611</v>
      </c>
      <c r="B13" s="8" t="s">
        <v>258</v>
      </c>
      <c r="C13" s="8" t="s">
        <v>258</v>
      </c>
    </row>
    <row r="14" spans="1:3" ht="26.4" x14ac:dyDescent="0.3">
      <c r="A14" s="9" t="s">
        <v>612</v>
      </c>
      <c r="B14" s="10" t="s">
        <v>452</v>
      </c>
      <c r="C14" s="10" t="s">
        <v>613</v>
      </c>
    </row>
    <row r="15" spans="1:3" x14ac:dyDescent="0.3">
      <c r="A15" s="7" t="s">
        <v>614</v>
      </c>
      <c r="B15" s="8" t="s">
        <v>615</v>
      </c>
      <c r="C15" s="8" t="s">
        <v>616</v>
      </c>
    </row>
    <row r="16" spans="1:3" ht="39.6" x14ac:dyDescent="0.3">
      <c r="A16" s="9" t="s">
        <v>617</v>
      </c>
      <c r="B16" s="10" t="s">
        <v>618</v>
      </c>
      <c r="C16" s="10" t="s">
        <v>619</v>
      </c>
    </row>
    <row r="17" spans="1:3" ht="30" customHeight="1" x14ac:dyDescent="0.3">
      <c r="A17" s="7" t="s">
        <v>620</v>
      </c>
      <c r="B17" s="8" t="s">
        <v>621</v>
      </c>
      <c r="C17" s="8" t="s">
        <v>622</v>
      </c>
    </row>
    <row r="18" spans="1:3" ht="26.4" x14ac:dyDescent="0.3">
      <c r="A18" s="9" t="s">
        <v>623</v>
      </c>
      <c r="B18" s="10" t="s">
        <v>624</v>
      </c>
      <c r="C18" s="10" t="s">
        <v>625</v>
      </c>
    </row>
    <row r="19" spans="1:3" ht="26.4" x14ac:dyDescent="0.3">
      <c r="A19" s="7" t="s">
        <v>626</v>
      </c>
      <c r="B19" s="8" t="s">
        <v>627</v>
      </c>
      <c r="C19" s="8" t="s">
        <v>627</v>
      </c>
    </row>
  </sheetData>
  <mergeCells count="4">
    <mergeCell ref="A1:C1"/>
    <mergeCell ref="A2:C2"/>
    <mergeCell ref="B5:C5"/>
    <mergeCell ref="B10:C10"/>
  </mergeCells>
  <pageMargins left="0.75" right="0.75" top="1" bottom="1" header="0.511811023622047" footer="0.511811023622047"/>
  <pageSetup paperSize="9"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8"/>
  <sheetViews>
    <sheetView showGridLines="0" zoomScaleNormal="100" workbookViewId="0">
      <selection activeCell="A5" sqref="A5"/>
    </sheetView>
  </sheetViews>
  <sheetFormatPr defaultColWidth="8.6640625" defaultRowHeight="14.4" x14ac:dyDescent="0.3"/>
  <cols>
    <col min="1" max="1" width="50" customWidth="1"/>
    <col min="2" max="2" width="14" customWidth="1"/>
    <col min="3" max="3" width="24.33203125" customWidth="1"/>
  </cols>
  <sheetData>
    <row r="1" spans="1:3" ht="25.5" customHeight="1" x14ac:dyDescent="0.3">
      <c r="A1" s="42" t="s">
        <v>628</v>
      </c>
      <c r="B1" s="42"/>
      <c r="C1" s="42"/>
    </row>
    <row r="2" spans="1:3" ht="15.75" customHeight="1" x14ac:dyDescent="0.3">
      <c r="A2" s="43" t="s">
        <v>629</v>
      </c>
      <c r="B2" s="43"/>
      <c r="C2" s="43"/>
    </row>
    <row r="4" spans="1:3" ht="19.5" customHeight="1" x14ac:dyDescent="0.3">
      <c r="A4" s="45" t="s">
        <v>387</v>
      </c>
      <c r="B4" s="45"/>
      <c r="C4" s="45"/>
    </row>
    <row r="5" spans="1:3" x14ac:dyDescent="0.3">
      <c r="A5" s="2" t="s">
        <v>103</v>
      </c>
      <c r="B5" s="2" t="s">
        <v>104</v>
      </c>
      <c r="C5" s="2" t="s">
        <v>105</v>
      </c>
    </row>
    <row r="6" spans="1:3" ht="26.4" x14ac:dyDescent="0.3">
      <c r="A6" s="7" t="s">
        <v>630</v>
      </c>
      <c r="B6" s="11">
        <v>964</v>
      </c>
      <c r="C6" s="11">
        <v>868</v>
      </c>
    </row>
    <row r="7" spans="1:3" x14ac:dyDescent="0.3">
      <c r="A7" s="9" t="s">
        <v>631</v>
      </c>
      <c r="B7" s="14">
        <v>11182</v>
      </c>
      <c r="C7" s="14">
        <v>12383</v>
      </c>
    </row>
    <row r="8" spans="1:3" ht="26.4" x14ac:dyDescent="0.3">
      <c r="A8" s="7" t="s">
        <v>632</v>
      </c>
      <c r="B8" s="11">
        <v>187</v>
      </c>
      <c r="C8" s="11">
        <v>183</v>
      </c>
    </row>
    <row r="9" spans="1:3" ht="26.4" x14ac:dyDescent="0.3">
      <c r="A9" s="9" t="s">
        <v>633</v>
      </c>
      <c r="B9" s="14">
        <v>12334</v>
      </c>
      <c r="C9" s="14">
        <v>13434</v>
      </c>
    </row>
    <row r="10" spans="1:3" ht="26.4" x14ac:dyDescent="0.3">
      <c r="A10" s="7" t="s">
        <v>634</v>
      </c>
      <c r="B10" s="11">
        <v>761</v>
      </c>
      <c r="C10" s="11">
        <v>757</v>
      </c>
    </row>
    <row r="11" spans="1:3" ht="26.4" x14ac:dyDescent="0.3">
      <c r="A11" s="9" t="s">
        <v>635</v>
      </c>
      <c r="B11" s="14">
        <v>10930</v>
      </c>
      <c r="C11" s="14">
        <v>11600</v>
      </c>
    </row>
    <row r="12" spans="1:3" ht="26.4" x14ac:dyDescent="0.3">
      <c r="A12" s="7" t="s">
        <v>636</v>
      </c>
      <c r="B12" s="11">
        <v>0</v>
      </c>
      <c r="C12" s="11">
        <v>0</v>
      </c>
    </row>
    <row r="13" spans="1:3" ht="26.4" x14ac:dyDescent="0.3">
      <c r="A13" s="9" t="s">
        <v>637</v>
      </c>
      <c r="B13" s="14">
        <v>11691</v>
      </c>
      <c r="C13" s="14">
        <v>12357</v>
      </c>
    </row>
    <row r="14" spans="1:3" ht="26.4" x14ac:dyDescent="0.3">
      <c r="A14" s="7" t="s">
        <v>638</v>
      </c>
      <c r="B14" s="11">
        <v>24025</v>
      </c>
      <c r="C14" s="11">
        <v>25791</v>
      </c>
    </row>
    <row r="15" spans="1:3" ht="39.6" x14ac:dyDescent="0.3">
      <c r="A15" s="9" t="s">
        <v>639</v>
      </c>
      <c r="B15" s="14">
        <v>294</v>
      </c>
      <c r="C15" s="14">
        <v>347</v>
      </c>
    </row>
    <row r="16" spans="1:3" ht="52.8" x14ac:dyDescent="0.3">
      <c r="A16" s="7" t="s">
        <v>640</v>
      </c>
      <c r="B16" s="11">
        <v>599</v>
      </c>
      <c r="C16" s="11">
        <v>718</v>
      </c>
    </row>
    <row r="17" spans="1:3" ht="39.6" x14ac:dyDescent="0.3">
      <c r="A17" s="9" t="s">
        <v>641</v>
      </c>
      <c r="B17" s="14">
        <v>21</v>
      </c>
      <c r="C17" s="14">
        <v>23</v>
      </c>
    </row>
    <row r="18" spans="1:3" ht="39.6" x14ac:dyDescent="0.3">
      <c r="A18" s="7" t="s">
        <v>642</v>
      </c>
      <c r="B18" s="11">
        <v>2.9</v>
      </c>
      <c r="C18" s="11">
        <v>2.9</v>
      </c>
    </row>
  </sheetData>
  <mergeCells count="3">
    <mergeCell ref="A1:C1"/>
    <mergeCell ref="A2:C2"/>
    <mergeCell ref="A4:C4"/>
  </mergeCells>
  <pageMargins left="0.75" right="0.75" top="1" bottom="1" header="0.511811023622047" footer="0.511811023622047"/>
  <pageSetup paperSize="9"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5"/>
  <sheetViews>
    <sheetView showGridLines="0" zoomScaleNormal="100" workbookViewId="0">
      <pane xSplit="1" ySplit="4" topLeftCell="B5" activePane="bottomRight" state="frozen"/>
      <selection pane="topRight" activeCell="B1" sqref="B1"/>
      <selection pane="bottomLeft" activeCell="A5" sqref="A5"/>
      <selection pane="bottomRight" sqref="A1:G1"/>
    </sheetView>
  </sheetViews>
  <sheetFormatPr defaultColWidth="8.6640625" defaultRowHeight="14.4" x14ac:dyDescent="0.3"/>
  <cols>
    <col min="1" max="1" width="30" customWidth="1"/>
    <col min="2" max="2" width="42" customWidth="1"/>
    <col min="3" max="4" width="14" customWidth="1"/>
    <col min="5" max="5" width="41" customWidth="1"/>
    <col min="6" max="6" width="26" customWidth="1"/>
    <col min="7" max="7" width="40" customWidth="1"/>
  </cols>
  <sheetData>
    <row r="1" spans="1:7" ht="25.5" customHeight="1" x14ac:dyDescent="0.3">
      <c r="A1" s="42" t="s">
        <v>643</v>
      </c>
      <c r="B1" s="42"/>
      <c r="C1" s="42"/>
      <c r="D1" s="42"/>
      <c r="E1" s="42"/>
      <c r="F1" s="42"/>
      <c r="G1" s="42"/>
    </row>
    <row r="2" spans="1:7" ht="15.75" customHeight="1" x14ac:dyDescent="0.3">
      <c r="A2" s="43" t="s">
        <v>644</v>
      </c>
      <c r="B2" s="43"/>
      <c r="C2" s="43"/>
      <c r="D2" s="43"/>
      <c r="E2" s="43"/>
      <c r="F2" s="43"/>
      <c r="G2" s="43"/>
    </row>
    <row r="4" spans="1:7" ht="30" customHeight="1" x14ac:dyDescent="0.3">
      <c r="A4" s="2" t="s">
        <v>645</v>
      </c>
      <c r="B4" s="2" t="s">
        <v>646</v>
      </c>
      <c r="C4" s="2" t="s">
        <v>647</v>
      </c>
      <c r="D4" s="2" t="s">
        <v>648</v>
      </c>
      <c r="E4" s="2" t="s">
        <v>649</v>
      </c>
      <c r="F4" s="2" t="s">
        <v>650</v>
      </c>
      <c r="G4" s="2" t="s">
        <v>651</v>
      </c>
    </row>
    <row r="5" spans="1:7" x14ac:dyDescent="0.3">
      <c r="A5" s="13" t="s">
        <v>652</v>
      </c>
      <c r="B5" s="47"/>
      <c r="C5" s="47"/>
      <c r="D5" s="47"/>
      <c r="E5" s="47"/>
      <c r="F5" s="47"/>
      <c r="G5" s="47"/>
    </row>
  </sheetData>
  <mergeCells count="3">
    <mergeCell ref="A1:G1"/>
    <mergeCell ref="A2:G2"/>
    <mergeCell ref="B5:G5"/>
  </mergeCells>
  <pageMargins left="0.75" right="0.75" top="1" bottom="1" header="0.511811023622047" footer="0.511811023622047"/>
  <pageSetup paperSize="9"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8"/>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30" customWidth="1"/>
    <col min="2" max="2" width="35" customWidth="1"/>
    <col min="3" max="3" width="36" customWidth="1"/>
  </cols>
  <sheetData>
    <row r="1" spans="1:3" ht="25.5" customHeight="1" x14ac:dyDescent="0.3">
      <c r="A1" s="42" t="s">
        <v>653</v>
      </c>
      <c r="B1" s="42"/>
      <c r="C1" s="42"/>
    </row>
    <row r="2" spans="1:3" ht="15.75" customHeight="1" x14ac:dyDescent="0.3">
      <c r="A2" s="43" t="s">
        <v>654</v>
      </c>
      <c r="B2" s="43"/>
      <c r="C2" s="43"/>
    </row>
    <row r="4" spans="1:3" ht="30" customHeight="1" x14ac:dyDescent="0.3">
      <c r="A4" s="2" t="s">
        <v>655</v>
      </c>
      <c r="B4" s="2" t="s">
        <v>656</v>
      </c>
      <c r="C4" s="2" t="s">
        <v>657</v>
      </c>
    </row>
    <row r="5" spans="1:3" x14ac:dyDescent="0.3">
      <c r="A5" s="7" t="s">
        <v>658</v>
      </c>
      <c r="B5" s="8" t="s">
        <v>659</v>
      </c>
      <c r="C5" s="8" t="s">
        <v>659</v>
      </c>
    </row>
    <row r="6" spans="1:3" x14ac:dyDescent="0.3">
      <c r="A6" s="9" t="s">
        <v>660</v>
      </c>
      <c r="B6" s="10" t="s">
        <v>556</v>
      </c>
      <c r="C6" s="10" t="s">
        <v>556</v>
      </c>
    </row>
    <row r="7" spans="1:3" x14ac:dyDescent="0.3">
      <c r="A7" s="7" t="s">
        <v>661</v>
      </c>
      <c r="B7" s="8" t="s">
        <v>662</v>
      </c>
      <c r="C7" s="8" t="s">
        <v>222</v>
      </c>
    </row>
    <row r="8" spans="1:3" x14ac:dyDescent="0.3">
      <c r="A8" s="9" t="s">
        <v>663</v>
      </c>
      <c r="B8" s="10" t="s">
        <v>664</v>
      </c>
      <c r="C8" s="10" t="s">
        <v>149</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10"/>
  <sheetViews>
    <sheetView showGridLines="0" zoomScaleNormal="100" workbookViewId="0">
      <selection activeCell="L25" sqref="L25"/>
    </sheetView>
  </sheetViews>
  <sheetFormatPr defaultColWidth="8.6640625" defaultRowHeight="14.4" x14ac:dyDescent="0.3"/>
  <cols>
    <col min="1" max="1" width="18" customWidth="1"/>
    <col min="2" max="2" width="14" customWidth="1"/>
    <col min="3" max="3" width="37.5546875" customWidth="1"/>
    <col min="5" max="5" width="12.5546875" bestFit="1" customWidth="1"/>
    <col min="6" max="7" width="12" bestFit="1" customWidth="1"/>
  </cols>
  <sheetData>
    <row r="1" spans="1:7" ht="25.5" customHeight="1" x14ac:dyDescent="0.3">
      <c r="A1" s="42" t="s">
        <v>665</v>
      </c>
      <c r="B1" s="42"/>
      <c r="C1" s="42"/>
    </row>
    <row r="2" spans="1:7" ht="15.75" customHeight="1" x14ac:dyDescent="0.3">
      <c r="A2" s="43" t="s">
        <v>666</v>
      </c>
      <c r="B2" s="43"/>
      <c r="C2" s="43"/>
    </row>
    <row r="4" spans="1:7" ht="19.5" customHeight="1" x14ac:dyDescent="0.3">
      <c r="A4" s="45" t="s">
        <v>211</v>
      </c>
      <c r="B4" s="45"/>
      <c r="C4" s="45"/>
    </row>
    <row r="5" spans="1:7" x14ac:dyDescent="0.3">
      <c r="A5" s="2" t="s">
        <v>103</v>
      </c>
      <c r="B5" s="2" t="s">
        <v>104</v>
      </c>
      <c r="C5" s="2" t="s">
        <v>105</v>
      </c>
      <c r="E5" s="18" t="s">
        <v>769</v>
      </c>
      <c r="F5" t="s">
        <v>777</v>
      </c>
      <c r="G5" t="s">
        <v>780</v>
      </c>
    </row>
    <row r="6" spans="1:7" x14ac:dyDescent="0.3">
      <c r="A6" s="7" t="s">
        <v>658</v>
      </c>
      <c r="B6" s="12">
        <v>0.15</v>
      </c>
      <c r="C6" s="12">
        <v>0.15</v>
      </c>
      <c r="E6" s="19" t="s">
        <v>663</v>
      </c>
      <c r="F6" s="21">
        <v>0.56999999999999995</v>
      </c>
      <c r="G6" s="21">
        <v>0.57999999999999996</v>
      </c>
    </row>
    <row r="7" spans="1:7" x14ac:dyDescent="0.3">
      <c r="A7" s="9" t="s">
        <v>660</v>
      </c>
      <c r="B7" s="15">
        <v>0.1</v>
      </c>
      <c r="C7" s="15">
        <v>0.1</v>
      </c>
      <c r="E7" s="19" t="s">
        <v>658</v>
      </c>
      <c r="F7" s="21">
        <v>0.15</v>
      </c>
      <c r="G7" s="21">
        <v>0.15</v>
      </c>
    </row>
    <row r="8" spans="1:7" x14ac:dyDescent="0.3">
      <c r="A8" s="7" t="s">
        <v>661</v>
      </c>
      <c r="B8" s="12">
        <v>0.18</v>
      </c>
      <c r="C8" s="12">
        <v>0.17</v>
      </c>
      <c r="E8" s="19" t="s">
        <v>660</v>
      </c>
      <c r="F8" s="21">
        <v>0.1</v>
      </c>
      <c r="G8" s="21">
        <v>0.1</v>
      </c>
    </row>
    <row r="9" spans="1:7" x14ac:dyDescent="0.3">
      <c r="A9" s="9" t="s">
        <v>663</v>
      </c>
      <c r="B9" s="15">
        <v>0.56999999999999995</v>
      </c>
      <c r="C9" s="15">
        <v>0.57999999999999996</v>
      </c>
      <c r="E9" s="19" t="s">
        <v>661</v>
      </c>
      <c r="F9" s="21">
        <v>0.18</v>
      </c>
      <c r="G9" s="21">
        <v>0.17</v>
      </c>
    </row>
    <row r="10" spans="1:7" x14ac:dyDescent="0.3">
      <c r="E10" s="19" t="s">
        <v>770</v>
      </c>
      <c r="F10" s="21">
        <v>1</v>
      </c>
      <c r="G10" s="21">
        <v>1</v>
      </c>
    </row>
  </sheetData>
  <mergeCells count="3">
    <mergeCell ref="A1:C1"/>
    <mergeCell ref="A2:C2"/>
    <mergeCell ref="A4:C4"/>
  </mergeCells>
  <pageMargins left="0.75" right="0.75" top="1" bottom="1" header="0.511811023622047" footer="0.511811023622047"/>
  <pageSetup paperSize="9" orientation="portrait" horizontalDpi="300" verticalDpi="300"/>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6"/>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45" customWidth="1"/>
    <col min="2" max="2" width="35" customWidth="1"/>
    <col min="3" max="3" width="36" customWidth="1"/>
  </cols>
  <sheetData>
    <row r="1" spans="1:3" ht="25.5" customHeight="1" x14ac:dyDescent="0.3">
      <c r="A1" s="42" t="s">
        <v>667</v>
      </c>
      <c r="B1" s="42"/>
      <c r="C1" s="42"/>
    </row>
    <row r="2" spans="1:3" ht="15.75" customHeight="1" x14ac:dyDescent="0.3">
      <c r="A2" s="43" t="s">
        <v>654</v>
      </c>
      <c r="B2" s="43"/>
      <c r="C2" s="43"/>
    </row>
    <row r="4" spans="1:3" ht="30" customHeight="1" x14ac:dyDescent="0.3">
      <c r="A4" s="2"/>
      <c r="B4" s="2" t="s">
        <v>656</v>
      </c>
      <c r="C4" s="2" t="s">
        <v>657</v>
      </c>
    </row>
    <row r="5" spans="1:3" x14ac:dyDescent="0.3">
      <c r="A5" s="7" t="s">
        <v>668</v>
      </c>
      <c r="B5" s="8" t="s">
        <v>669</v>
      </c>
      <c r="C5" s="8" t="s">
        <v>670</v>
      </c>
    </row>
    <row r="6" spans="1:3" x14ac:dyDescent="0.3">
      <c r="A6" s="9" t="s">
        <v>671</v>
      </c>
      <c r="B6" s="10" t="s">
        <v>672</v>
      </c>
      <c r="C6" s="10" t="s">
        <v>673</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8"/>
  <sheetViews>
    <sheetView showGridLines="0" zoomScaleNormal="100" workbookViewId="0">
      <selection activeCell="E5" sqref="E5"/>
    </sheetView>
  </sheetViews>
  <sheetFormatPr defaultColWidth="8.6640625" defaultRowHeight="14.4" x14ac:dyDescent="0.3"/>
  <cols>
    <col min="1" max="1" width="45" customWidth="1"/>
    <col min="2" max="2" width="14" customWidth="1"/>
    <col min="3" max="3" width="32.33203125" customWidth="1"/>
    <col min="5" max="5" width="39.33203125" bestFit="1" customWidth="1"/>
    <col min="6" max="6" width="12.44140625" bestFit="1" customWidth="1"/>
    <col min="7" max="7" width="12" bestFit="1" customWidth="1"/>
  </cols>
  <sheetData>
    <row r="1" spans="1:7" ht="25.5" customHeight="1" x14ac:dyDescent="0.3">
      <c r="A1" s="42" t="s">
        <v>674</v>
      </c>
      <c r="B1" s="42"/>
      <c r="C1" s="42"/>
    </row>
    <row r="2" spans="1:7" ht="15.75" customHeight="1" x14ac:dyDescent="0.3">
      <c r="A2" s="43" t="s">
        <v>666</v>
      </c>
      <c r="B2" s="43"/>
      <c r="C2" s="43"/>
    </row>
    <row r="4" spans="1:7" ht="19.5" customHeight="1" x14ac:dyDescent="0.3">
      <c r="A4" s="45" t="s">
        <v>211</v>
      </c>
      <c r="B4" s="45"/>
      <c r="C4" s="45"/>
    </row>
    <row r="5" spans="1:7" x14ac:dyDescent="0.3">
      <c r="A5" s="2" t="s">
        <v>103</v>
      </c>
      <c r="B5" s="2" t="s">
        <v>104</v>
      </c>
      <c r="C5" s="2" t="s">
        <v>105</v>
      </c>
      <c r="E5" s="18" t="s">
        <v>769</v>
      </c>
      <c r="F5" t="s">
        <v>779</v>
      </c>
      <c r="G5" t="s">
        <v>780</v>
      </c>
    </row>
    <row r="6" spans="1:7" x14ac:dyDescent="0.3">
      <c r="A6" s="7" t="s">
        <v>668</v>
      </c>
      <c r="B6" s="12">
        <v>0.32379999999999998</v>
      </c>
      <c r="C6" s="12">
        <v>0.29720000000000002</v>
      </c>
      <c r="E6" s="19" t="s">
        <v>671</v>
      </c>
      <c r="F6" s="21">
        <v>0.92589999999999995</v>
      </c>
      <c r="G6" s="21">
        <v>0.92859999999999998</v>
      </c>
    </row>
    <row r="7" spans="1:7" x14ac:dyDescent="0.3">
      <c r="A7" s="9" t="s">
        <v>671</v>
      </c>
      <c r="B7" s="15">
        <v>0.92589999999999995</v>
      </c>
      <c r="C7" s="15">
        <v>0.92859999999999998</v>
      </c>
      <c r="E7" s="19" t="s">
        <v>668</v>
      </c>
      <c r="F7" s="21">
        <v>0.32379999999999998</v>
      </c>
      <c r="G7" s="21">
        <v>0.29720000000000002</v>
      </c>
    </row>
    <row r="8" spans="1:7" x14ac:dyDescent="0.3">
      <c r="E8" s="19" t="s">
        <v>770</v>
      </c>
      <c r="F8" s="21">
        <v>1.2496999999999998</v>
      </c>
      <c r="G8" s="21">
        <v>1.2258</v>
      </c>
    </row>
  </sheetData>
  <mergeCells count="3">
    <mergeCell ref="A1:C1"/>
    <mergeCell ref="A2:C2"/>
    <mergeCell ref="A4:C4"/>
  </mergeCells>
  <pageMargins left="0.75" right="0.75" top="1" bottom="1" header="0.511811023622047" footer="0.511811023622047"/>
  <pageSetup paperSize="9" orientation="portrait" horizontalDpi="300" verticalDpi="300"/>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8"/>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1" width="30" customWidth="1"/>
    <col min="2" max="2" width="23" customWidth="1"/>
    <col min="3" max="3" width="29" customWidth="1"/>
  </cols>
  <sheetData>
    <row r="1" spans="1:3" ht="25.5" customHeight="1" x14ac:dyDescent="0.3">
      <c r="A1" s="42" t="s">
        <v>675</v>
      </c>
      <c r="B1" s="42"/>
      <c r="C1" s="42"/>
    </row>
    <row r="2" spans="1:3" ht="15.75" customHeight="1" x14ac:dyDescent="0.3">
      <c r="A2" s="43" t="s">
        <v>654</v>
      </c>
      <c r="B2" s="43"/>
      <c r="C2" s="43"/>
    </row>
    <row r="4" spans="1:3" ht="30" customHeight="1" x14ac:dyDescent="0.3">
      <c r="A4" s="2" t="s">
        <v>647</v>
      </c>
      <c r="B4" s="2" t="s">
        <v>676</v>
      </c>
      <c r="C4" s="2" t="s">
        <v>677</v>
      </c>
    </row>
    <row r="5" spans="1:3" x14ac:dyDescent="0.3">
      <c r="A5" s="7" t="s">
        <v>678</v>
      </c>
      <c r="B5" s="8" t="s">
        <v>679</v>
      </c>
      <c r="C5" s="8" t="s">
        <v>680</v>
      </c>
    </row>
    <row r="6" spans="1:3" x14ac:dyDescent="0.3">
      <c r="A6" s="9" t="s">
        <v>681</v>
      </c>
      <c r="B6" s="10" t="s">
        <v>682</v>
      </c>
      <c r="C6" s="10" t="s">
        <v>683</v>
      </c>
    </row>
    <row r="7" spans="1:3" x14ac:dyDescent="0.3">
      <c r="A7" s="7" t="s">
        <v>684</v>
      </c>
      <c r="B7" s="8" t="s">
        <v>685</v>
      </c>
      <c r="C7" s="8" t="s">
        <v>686</v>
      </c>
    </row>
    <row r="8" spans="1:3" x14ac:dyDescent="0.3">
      <c r="A8" s="9" t="s">
        <v>687</v>
      </c>
      <c r="B8" s="10" t="s">
        <v>688</v>
      </c>
      <c r="C8" s="10" t="s">
        <v>689</v>
      </c>
    </row>
    <row r="9" spans="1:3" x14ac:dyDescent="0.3">
      <c r="A9" s="7" t="s">
        <v>690</v>
      </c>
      <c r="B9" s="8" t="s">
        <v>691</v>
      </c>
      <c r="C9" s="8" t="s">
        <v>692</v>
      </c>
    </row>
    <row r="10" spans="1:3" x14ac:dyDescent="0.3">
      <c r="A10" s="9" t="s">
        <v>693</v>
      </c>
      <c r="B10" s="10" t="s">
        <v>694</v>
      </c>
      <c r="C10" s="10" t="s">
        <v>695</v>
      </c>
    </row>
    <row r="11" spans="1:3" x14ac:dyDescent="0.3">
      <c r="A11" s="7" t="s">
        <v>696</v>
      </c>
      <c r="B11" s="8" t="s">
        <v>697</v>
      </c>
      <c r="C11" s="8" t="s">
        <v>698</v>
      </c>
    </row>
    <row r="12" spans="1:3" x14ac:dyDescent="0.3">
      <c r="A12" s="9" t="s">
        <v>699</v>
      </c>
      <c r="B12" s="10" t="s">
        <v>700</v>
      </c>
      <c r="C12" s="10" t="s">
        <v>701</v>
      </c>
    </row>
    <row r="13" spans="1:3" x14ac:dyDescent="0.3">
      <c r="A13" s="7" t="s">
        <v>696</v>
      </c>
      <c r="B13" s="8" t="s">
        <v>702</v>
      </c>
      <c r="C13" s="8" t="s">
        <v>703</v>
      </c>
    </row>
    <row r="14" spans="1:3" x14ac:dyDescent="0.3">
      <c r="A14" s="9" t="s">
        <v>699</v>
      </c>
      <c r="B14" s="10" t="s">
        <v>704</v>
      </c>
      <c r="C14" s="10" t="s">
        <v>705</v>
      </c>
    </row>
    <row r="15" spans="1:3" x14ac:dyDescent="0.3">
      <c r="A15" s="7" t="s">
        <v>706</v>
      </c>
      <c r="B15" s="8" t="s">
        <v>707</v>
      </c>
      <c r="C15" s="8" t="s">
        <v>708</v>
      </c>
    </row>
    <row r="16" spans="1:3" x14ac:dyDescent="0.3">
      <c r="A16" s="9" t="s">
        <v>709</v>
      </c>
      <c r="B16" s="10" t="s">
        <v>710</v>
      </c>
      <c r="C16" s="10" t="s">
        <v>711</v>
      </c>
    </row>
    <row r="17" spans="1:3" x14ac:dyDescent="0.3">
      <c r="A17" s="7" t="s">
        <v>706</v>
      </c>
      <c r="B17" s="8" t="s">
        <v>712</v>
      </c>
      <c r="C17" s="8" t="s">
        <v>713</v>
      </c>
    </row>
    <row r="18" spans="1:3" x14ac:dyDescent="0.3">
      <c r="A18" s="9" t="s">
        <v>714</v>
      </c>
      <c r="B18" s="10" t="s">
        <v>715</v>
      </c>
      <c r="C18" s="10" t="s">
        <v>716</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20"/>
  <sheetViews>
    <sheetView showGridLines="0" zoomScaleNormal="100" workbookViewId="0">
      <selection activeCell="E5" sqref="E5"/>
    </sheetView>
  </sheetViews>
  <sheetFormatPr defaultColWidth="8.6640625" defaultRowHeight="14.4" x14ac:dyDescent="0.3"/>
  <cols>
    <col min="1" max="1" width="35" customWidth="1"/>
    <col min="2" max="2" width="42.6640625" customWidth="1"/>
    <col min="4" max="4" width="30.33203125" bestFit="1" customWidth="1"/>
    <col min="5" max="5" width="13.5546875" bestFit="1" customWidth="1"/>
  </cols>
  <sheetData>
    <row r="1" spans="1:5" ht="25.5" customHeight="1" x14ac:dyDescent="0.3">
      <c r="A1" s="42" t="s">
        <v>717</v>
      </c>
      <c r="B1" s="42"/>
    </row>
    <row r="2" spans="1:5" ht="15.75" customHeight="1" x14ac:dyDescent="0.3">
      <c r="A2" s="43" t="s">
        <v>666</v>
      </c>
      <c r="B2" s="43"/>
    </row>
    <row r="4" spans="1:5" ht="19.5" customHeight="1" x14ac:dyDescent="0.3">
      <c r="A4" s="45" t="s">
        <v>718</v>
      </c>
      <c r="B4" s="45"/>
    </row>
    <row r="5" spans="1:5" x14ac:dyDescent="0.3">
      <c r="A5" s="2" t="s">
        <v>103</v>
      </c>
      <c r="B5" s="2" t="s">
        <v>114</v>
      </c>
      <c r="D5" s="18" t="s">
        <v>769</v>
      </c>
      <c r="E5" t="s">
        <v>786</v>
      </c>
    </row>
    <row r="6" spans="1:5" x14ac:dyDescent="0.3">
      <c r="A6" s="7" t="s">
        <v>719</v>
      </c>
      <c r="B6" s="11">
        <v>2992.35</v>
      </c>
      <c r="D6" s="19" t="s">
        <v>723</v>
      </c>
      <c r="E6" s="20">
        <v>275.08</v>
      </c>
    </row>
    <row r="7" spans="1:5" x14ac:dyDescent="0.3">
      <c r="A7" s="9" t="s">
        <v>720</v>
      </c>
      <c r="B7" s="14">
        <v>624.5</v>
      </c>
      <c r="D7" s="19" t="s">
        <v>724</v>
      </c>
      <c r="E7" s="20">
        <v>256.31</v>
      </c>
    </row>
    <row r="8" spans="1:5" x14ac:dyDescent="0.3">
      <c r="A8" s="7" t="s">
        <v>721</v>
      </c>
      <c r="B8" s="11">
        <v>305.98</v>
      </c>
      <c r="D8" s="19" t="s">
        <v>730</v>
      </c>
      <c r="E8" s="20">
        <v>123.17</v>
      </c>
    </row>
    <row r="9" spans="1:5" x14ac:dyDescent="0.3">
      <c r="A9" s="9" t="s">
        <v>722</v>
      </c>
      <c r="B9" s="14">
        <v>302.13</v>
      </c>
      <c r="D9" s="19" t="s">
        <v>722</v>
      </c>
      <c r="E9" s="20">
        <v>302.13</v>
      </c>
    </row>
    <row r="10" spans="1:5" x14ac:dyDescent="0.3">
      <c r="A10" s="7" t="s">
        <v>723</v>
      </c>
      <c r="B10" s="11">
        <v>275.08</v>
      </c>
      <c r="D10" s="19" t="s">
        <v>731</v>
      </c>
      <c r="E10" s="20">
        <v>114.4</v>
      </c>
    </row>
    <row r="11" spans="1:5" x14ac:dyDescent="0.3">
      <c r="A11" s="9" t="s">
        <v>724</v>
      </c>
      <c r="B11" s="14">
        <v>256.31</v>
      </c>
      <c r="D11" s="19" t="s">
        <v>729</v>
      </c>
      <c r="E11" s="20">
        <v>141.11000000000001</v>
      </c>
    </row>
    <row r="12" spans="1:5" x14ac:dyDescent="0.3">
      <c r="A12" s="7" t="s">
        <v>725</v>
      </c>
      <c r="B12" s="11">
        <v>229.68</v>
      </c>
      <c r="D12" s="19" t="s">
        <v>732</v>
      </c>
      <c r="E12" s="20">
        <v>1016.94</v>
      </c>
    </row>
    <row r="13" spans="1:5" x14ac:dyDescent="0.3">
      <c r="A13" s="9" t="s">
        <v>726</v>
      </c>
      <c r="B13" s="14">
        <v>217.66</v>
      </c>
      <c r="D13" s="19" t="s">
        <v>721</v>
      </c>
      <c r="E13" s="20">
        <v>305.98</v>
      </c>
    </row>
    <row r="14" spans="1:5" x14ac:dyDescent="0.3">
      <c r="A14" s="7" t="s">
        <v>727</v>
      </c>
      <c r="B14" s="11">
        <v>177.44</v>
      </c>
      <c r="D14" s="19" t="s">
        <v>727</v>
      </c>
      <c r="E14" s="20">
        <v>177.44</v>
      </c>
    </row>
    <row r="15" spans="1:5" x14ac:dyDescent="0.3">
      <c r="A15" s="9" t="s">
        <v>728</v>
      </c>
      <c r="B15" s="14">
        <v>172.86</v>
      </c>
      <c r="D15" s="19" t="s">
        <v>725</v>
      </c>
      <c r="E15" s="20">
        <v>229.68</v>
      </c>
    </row>
    <row r="16" spans="1:5" x14ac:dyDescent="0.3">
      <c r="A16" s="7" t="s">
        <v>729</v>
      </c>
      <c r="B16" s="11">
        <v>141.11000000000001</v>
      </c>
      <c r="D16" s="19" t="s">
        <v>719</v>
      </c>
      <c r="E16" s="20">
        <v>2992.35</v>
      </c>
    </row>
    <row r="17" spans="1:5" x14ac:dyDescent="0.3">
      <c r="A17" s="9" t="s">
        <v>730</v>
      </c>
      <c r="B17" s="14">
        <v>123.17</v>
      </c>
      <c r="D17" s="19" t="s">
        <v>726</v>
      </c>
      <c r="E17" s="20">
        <v>217.66</v>
      </c>
    </row>
    <row r="18" spans="1:5" x14ac:dyDescent="0.3">
      <c r="A18" s="7" t="s">
        <v>731</v>
      </c>
      <c r="B18" s="11">
        <v>114.4</v>
      </c>
      <c r="D18" s="19" t="s">
        <v>728</v>
      </c>
      <c r="E18" s="20">
        <v>172.86</v>
      </c>
    </row>
    <row r="19" spans="1:5" x14ac:dyDescent="0.3">
      <c r="A19" s="9" t="s">
        <v>732</v>
      </c>
      <c r="B19" s="14">
        <v>1016.94</v>
      </c>
      <c r="D19" s="19" t="s">
        <v>720</v>
      </c>
      <c r="E19" s="20">
        <v>624.5</v>
      </c>
    </row>
    <row r="20" spans="1:5" x14ac:dyDescent="0.3">
      <c r="D20" s="19" t="s">
        <v>770</v>
      </c>
      <c r="E20" s="20">
        <v>6949.61</v>
      </c>
    </row>
  </sheetData>
  <mergeCells count="3">
    <mergeCell ref="A1:B1"/>
    <mergeCell ref="A2:B2"/>
    <mergeCell ref="A4:B4"/>
  </mergeCells>
  <pageMargins left="0.75" right="0.75" top="1" bottom="1" header="0.511811023622047" footer="0.511811023622047"/>
  <pageSetup paperSize="9" orientation="portrait" horizontalDpi="300" verticalDpi="300"/>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3"/>
  <sheetViews>
    <sheetView showGridLines="0" zoomScaleNormal="100" workbookViewId="0">
      <pane xSplit="1" ySplit="4" topLeftCell="B5" activePane="bottomRight" state="frozen"/>
      <selection pane="topRight" activeCell="B1" sqref="B1"/>
      <selection pane="bottomLeft" activeCell="A5" sqref="A5"/>
      <selection pane="bottomRight" sqref="A1:C1"/>
    </sheetView>
  </sheetViews>
  <sheetFormatPr defaultColWidth="8.6640625" defaultRowHeight="14.4" x14ac:dyDescent="0.3"/>
  <cols>
    <col min="1" max="3" width="47" customWidth="1"/>
  </cols>
  <sheetData>
    <row r="1" spans="1:3" ht="25.5" customHeight="1" x14ac:dyDescent="0.3">
      <c r="A1" s="42" t="s">
        <v>733</v>
      </c>
      <c r="B1" s="42"/>
      <c r="C1" s="42"/>
    </row>
    <row r="2" spans="1:3" ht="15.75" customHeight="1" x14ac:dyDescent="0.3">
      <c r="A2" s="43" t="s">
        <v>734</v>
      </c>
      <c r="B2" s="43"/>
      <c r="C2" s="43"/>
    </row>
    <row r="4" spans="1:3" ht="30" customHeight="1" x14ac:dyDescent="0.3">
      <c r="A4" s="2" t="s">
        <v>735</v>
      </c>
      <c r="B4" s="2" t="s">
        <v>736</v>
      </c>
      <c r="C4" s="2" t="s">
        <v>737</v>
      </c>
    </row>
    <row r="5" spans="1:3" ht="26.4" x14ac:dyDescent="0.3">
      <c r="A5" s="7" t="s">
        <v>738</v>
      </c>
      <c r="B5" s="8" t="s">
        <v>739</v>
      </c>
      <c r="C5" s="8" t="s">
        <v>740</v>
      </c>
    </row>
    <row r="6" spans="1:3" x14ac:dyDescent="0.3">
      <c r="A6" s="9" t="s">
        <v>741</v>
      </c>
      <c r="B6" s="10" t="s">
        <v>742</v>
      </c>
      <c r="C6" s="10" t="s">
        <v>743</v>
      </c>
    </row>
    <row r="7" spans="1:3" x14ac:dyDescent="0.3">
      <c r="A7" s="7" t="s">
        <v>744</v>
      </c>
      <c r="B7" s="8" t="s">
        <v>745</v>
      </c>
      <c r="C7" s="8" t="s">
        <v>746</v>
      </c>
    </row>
    <row r="8" spans="1:3" ht="26.4" x14ac:dyDescent="0.3">
      <c r="A8" s="9" t="s">
        <v>747</v>
      </c>
      <c r="B8" s="10" t="s">
        <v>748</v>
      </c>
      <c r="C8" s="10" t="s">
        <v>749</v>
      </c>
    </row>
    <row r="9" spans="1:3" x14ac:dyDescent="0.3">
      <c r="A9" s="7" t="s">
        <v>750</v>
      </c>
      <c r="B9" s="8" t="s">
        <v>751</v>
      </c>
      <c r="C9" s="16" t="s">
        <v>752</v>
      </c>
    </row>
    <row r="10" spans="1:3" x14ac:dyDescent="0.3">
      <c r="A10" s="9" t="s">
        <v>753</v>
      </c>
      <c r="B10" s="10" t="s">
        <v>754</v>
      </c>
      <c r="C10" s="17" t="s">
        <v>755</v>
      </c>
    </row>
    <row r="11" spans="1:3" x14ac:dyDescent="0.3">
      <c r="A11" s="7" t="s">
        <v>756</v>
      </c>
      <c r="B11" s="8" t="s">
        <v>757</v>
      </c>
      <c r="C11" s="8" t="s">
        <v>758</v>
      </c>
    </row>
    <row r="12" spans="1:3" ht="26.4" x14ac:dyDescent="0.3">
      <c r="A12" s="9" t="s">
        <v>759</v>
      </c>
      <c r="B12" s="10" t="s">
        <v>760</v>
      </c>
      <c r="C12" s="17" t="s">
        <v>761</v>
      </c>
    </row>
    <row r="13" spans="1:3" x14ac:dyDescent="0.3">
      <c r="A13" s="7" t="s">
        <v>762</v>
      </c>
      <c r="B13" s="8" t="s">
        <v>763</v>
      </c>
      <c r="C13" s="8" t="s">
        <v>764</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26"/>
  <sheetViews>
    <sheetView showGridLines="0" zoomScaleNormal="100" workbookViewId="0">
      <selection activeCell="D5" sqref="D5"/>
    </sheetView>
  </sheetViews>
  <sheetFormatPr defaultColWidth="8.6640625" defaultRowHeight="14.4" x14ac:dyDescent="0.3"/>
  <cols>
    <col min="1" max="1" width="50" customWidth="1"/>
    <col min="2" max="2" width="83.21875" customWidth="1"/>
    <col min="4" max="4" width="62.88671875" bestFit="1" customWidth="1"/>
    <col min="5" max="5" width="24.5546875" bestFit="1" customWidth="1"/>
  </cols>
  <sheetData>
    <row r="1" spans="1:5" ht="25.5" customHeight="1" x14ac:dyDescent="0.3">
      <c r="A1" s="42" t="s">
        <v>765</v>
      </c>
      <c r="B1" s="42"/>
    </row>
    <row r="2" spans="1:5" ht="15.75" customHeight="1" x14ac:dyDescent="0.3">
      <c r="A2" s="43" t="s">
        <v>766</v>
      </c>
      <c r="B2" s="43"/>
    </row>
    <row r="4" spans="1:5" ht="19.5" customHeight="1" x14ac:dyDescent="0.3">
      <c r="A4" s="45" t="s">
        <v>767</v>
      </c>
      <c r="B4" s="45"/>
    </row>
    <row r="5" spans="1:5" x14ac:dyDescent="0.3">
      <c r="A5" s="2" t="s">
        <v>103</v>
      </c>
      <c r="B5" s="2" t="s">
        <v>114</v>
      </c>
      <c r="D5" s="18" t="s">
        <v>769</v>
      </c>
      <c r="E5" t="s">
        <v>787</v>
      </c>
    </row>
    <row r="6" spans="1:5" x14ac:dyDescent="0.3">
      <c r="A6" s="7" t="s">
        <v>738</v>
      </c>
      <c r="B6" s="11">
        <v>66870</v>
      </c>
      <c r="D6" s="19" t="s">
        <v>741</v>
      </c>
      <c r="E6" s="20">
        <v>1209000</v>
      </c>
    </row>
    <row r="7" spans="1:5" x14ac:dyDescent="0.3">
      <c r="A7" s="9" t="s">
        <v>741</v>
      </c>
      <c r="B7" s="14">
        <v>1209000</v>
      </c>
      <c r="D7" s="19" t="s">
        <v>759</v>
      </c>
      <c r="E7" s="20">
        <v>1700000</v>
      </c>
    </row>
    <row r="8" spans="1:5" x14ac:dyDescent="0.3">
      <c r="A8" s="7" t="s">
        <v>744</v>
      </c>
      <c r="B8" s="11">
        <v>8950</v>
      </c>
      <c r="D8" s="19" t="s">
        <v>756</v>
      </c>
      <c r="E8" s="20">
        <v>713000</v>
      </c>
    </row>
    <row r="9" spans="1:5" ht="26.4" x14ac:dyDescent="0.3">
      <c r="A9" s="9" t="s">
        <v>747</v>
      </c>
      <c r="B9" s="14">
        <v>216000</v>
      </c>
      <c r="D9" s="19" t="s">
        <v>738</v>
      </c>
      <c r="E9" s="20">
        <v>66870</v>
      </c>
    </row>
    <row r="10" spans="1:5" x14ac:dyDescent="0.3">
      <c r="A10" s="7" t="s">
        <v>750</v>
      </c>
      <c r="B10" s="11">
        <v>1094000</v>
      </c>
      <c r="D10" s="19" t="s">
        <v>747</v>
      </c>
      <c r="E10" s="20">
        <v>216000</v>
      </c>
    </row>
    <row r="11" spans="1:5" x14ac:dyDescent="0.3">
      <c r="A11" s="9" t="s">
        <v>753</v>
      </c>
      <c r="B11" s="14">
        <v>17600</v>
      </c>
      <c r="D11" s="19" t="s">
        <v>744</v>
      </c>
      <c r="E11" s="20">
        <v>8950</v>
      </c>
    </row>
    <row r="12" spans="1:5" x14ac:dyDescent="0.3">
      <c r="A12" s="7" t="s">
        <v>756</v>
      </c>
      <c r="B12" s="11">
        <v>713000</v>
      </c>
      <c r="D12" s="19" t="s">
        <v>753</v>
      </c>
      <c r="E12" s="20">
        <v>17600</v>
      </c>
    </row>
    <row r="13" spans="1:5" ht="26.4" x14ac:dyDescent="0.3">
      <c r="A13" s="9" t="s">
        <v>759</v>
      </c>
      <c r="B13" s="14">
        <v>1700000</v>
      </c>
      <c r="D13" s="19" t="s">
        <v>750</v>
      </c>
      <c r="E13" s="20">
        <v>1094000</v>
      </c>
    </row>
    <row r="14" spans="1:5" x14ac:dyDescent="0.3">
      <c r="A14" s="7" t="s">
        <v>762</v>
      </c>
      <c r="B14" s="11">
        <v>948000</v>
      </c>
      <c r="D14" s="19" t="s">
        <v>762</v>
      </c>
      <c r="E14" s="20">
        <v>948000</v>
      </c>
    </row>
    <row r="15" spans="1:5" x14ac:dyDescent="0.3">
      <c r="D15" s="19" t="s">
        <v>770</v>
      </c>
      <c r="E15" s="20">
        <v>5973420</v>
      </c>
    </row>
    <row r="16" spans="1:5" ht="19.5" customHeight="1" x14ac:dyDescent="0.3">
      <c r="A16" s="45" t="s">
        <v>768</v>
      </c>
      <c r="B16" s="45"/>
    </row>
    <row r="17" spans="1:2" x14ac:dyDescent="0.3">
      <c r="A17" s="2" t="s">
        <v>103</v>
      </c>
      <c r="B17" s="2" t="s">
        <v>114</v>
      </c>
    </row>
    <row r="18" spans="1:2" x14ac:dyDescent="0.3">
      <c r="A18" s="7" t="s">
        <v>738</v>
      </c>
      <c r="B18" s="12">
        <v>0.09</v>
      </c>
    </row>
    <row r="19" spans="1:2" x14ac:dyDescent="0.3">
      <c r="A19" s="9" t="s">
        <v>741</v>
      </c>
      <c r="B19" s="15">
        <v>0.17</v>
      </c>
    </row>
    <row r="20" spans="1:2" x14ac:dyDescent="0.3">
      <c r="A20" s="7" t="s">
        <v>744</v>
      </c>
      <c r="B20" s="12">
        <v>0.28000000000000003</v>
      </c>
    </row>
    <row r="21" spans="1:2" ht="26.4" x14ac:dyDescent="0.3">
      <c r="A21" s="9" t="s">
        <v>747</v>
      </c>
      <c r="B21" s="15">
        <v>0.21</v>
      </c>
    </row>
    <row r="22" spans="1:2" x14ac:dyDescent="0.3">
      <c r="A22" s="7" t="s">
        <v>750</v>
      </c>
      <c r="B22" s="12">
        <v>1</v>
      </c>
    </row>
    <row r="23" spans="1:2" x14ac:dyDescent="0.3">
      <c r="A23" s="9" t="s">
        <v>753</v>
      </c>
      <c r="B23" s="15">
        <v>0.24</v>
      </c>
    </row>
    <row r="24" spans="1:2" x14ac:dyDescent="0.3">
      <c r="A24" s="7" t="s">
        <v>756</v>
      </c>
      <c r="B24" s="12">
        <v>1.61E-2</v>
      </c>
    </row>
    <row r="25" spans="1:2" ht="26.4" x14ac:dyDescent="0.3">
      <c r="A25" s="9" t="s">
        <v>759</v>
      </c>
      <c r="B25" s="15">
        <v>1</v>
      </c>
    </row>
    <row r="26" spans="1:2" x14ac:dyDescent="0.3">
      <c r="A26" s="7" t="s">
        <v>762</v>
      </c>
      <c r="B26" s="12">
        <v>1</v>
      </c>
    </row>
  </sheetData>
  <mergeCells count="4">
    <mergeCell ref="A1:B1"/>
    <mergeCell ref="A2:B2"/>
    <mergeCell ref="A4:B4"/>
    <mergeCell ref="A16:B16"/>
  </mergeCells>
  <pageMargins left="0.75" right="0.75" top="1" bottom="1" header="0.511811023622047" footer="0.511811023622047"/>
  <pageSetup paperSize="9" orientation="portrait" horizontalDpi="300" verticalDpi="300"/>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SOCIAL DASHBOARD</vt:lpstr>
      <vt:lpstr>Cover</vt:lpstr>
      <vt:lpstr>Waste_Management</vt:lpstr>
      <vt:lpstr>Waste_Management_Tables</vt:lpstr>
      <vt:lpstr>Reclaimed_Packaging</vt:lpstr>
      <vt:lpstr>Reclaimed_Packaging_Tables</vt:lpstr>
      <vt:lpstr>Principle_3_Marker</vt:lpstr>
      <vt:lpstr>Employee_Benefits</vt:lpstr>
      <vt:lpstr>Employee_Benefits_Tables</vt:lpstr>
      <vt:lpstr>Worker_Benefits</vt:lpstr>
      <vt:lpstr>Worker_Benefits_Tables</vt:lpstr>
      <vt:lpstr>Wellbeing_Cost</vt:lpstr>
      <vt:lpstr>Wellbeing_Cost_Tables</vt:lpstr>
      <vt:lpstr>Statutory_Benefits</vt:lpstr>
      <vt:lpstr>Statutory_Benefits_Tables</vt:lpstr>
      <vt:lpstr>Parental_Leave</vt:lpstr>
      <vt:lpstr>Parental_Leave_Tables</vt:lpstr>
      <vt:lpstr>Grievance_Mechanism</vt:lpstr>
      <vt:lpstr>Trade_Union_Membership</vt:lpstr>
      <vt:lpstr>Trade_Union_Membership_Tables</vt:lpstr>
      <vt:lpstr>Training_Coverage</vt:lpstr>
      <vt:lpstr>Training_Coverage_Tables</vt:lpstr>
      <vt:lpstr>Performance_Reviews</vt:lpstr>
      <vt:lpstr>Performance_Reviews_Tables</vt:lpstr>
      <vt:lpstr>Safety_Incidents</vt:lpstr>
      <vt:lpstr>Safety_Incidents_Tables</vt:lpstr>
      <vt:lpstr>Safety_Complaints</vt:lpstr>
      <vt:lpstr>Safety_Complaints_Tables</vt:lpstr>
      <vt:lpstr>Safety_Assessment</vt:lpstr>
      <vt:lpstr>Safety_Assessment_Tables</vt:lpstr>
      <vt:lpstr>Rehabilitation</vt:lpstr>
      <vt:lpstr>Rehabilitation_Tables</vt:lpstr>
      <vt:lpstr>ValueChain_Safety</vt:lpstr>
      <vt:lpstr>ValueChain_Safety_Tables</vt:lpstr>
      <vt:lpstr>Principle_4_Marker</vt:lpstr>
      <vt:lpstr>Stakeholder_Engagement</vt:lpstr>
      <vt:lpstr>Principle_5_Marker</vt:lpstr>
      <vt:lpstr>HR_Training_Coverage</vt:lpstr>
      <vt:lpstr>HR_Training_Coverage_Tables</vt:lpstr>
      <vt:lpstr>Minimum_Wage</vt:lpstr>
      <vt:lpstr>Minimum_Wage_Tables</vt:lpstr>
      <vt:lpstr>Median_Remuneration</vt:lpstr>
      <vt:lpstr>Median_Remuneration_Tables</vt:lpstr>
      <vt:lpstr>Gender_Pay_Gap</vt:lpstr>
      <vt:lpstr>Gender_Pay_Gap_Tables</vt:lpstr>
      <vt:lpstr>HR_Complaints</vt:lpstr>
      <vt:lpstr>HR_Complaints_Tables</vt:lpstr>
      <vt:lpstr>POSH_Complaints</vt:lpstr>
      <vt:lpstr>POSH_Complaints_Tables</vt:lpstr>
      <vt:lpstr>HR_Assessment_Internal</vt:lpstr>
      <vt:lpstr>HR_Assessment_Internal_Tables</vt:lpstr>
      <vt:lpstr>HR_Assessment_ValueChain</vt:lpstr>
      <vt:lpstr>HR_Assessment_ValueChain_Tables</vt:lpstr>
      <vt:lpstr>Principle_6_Marker</vt:lpstr>
      <vt:lpstr>Energy_Consumption</vt:lpstr>
      <vt:lpstr>Energy_Consumption_Tables</vt:lpstr>
      <vt:lpstr>Resettlement_RR</vt:lpstr>
      <vt:lpstr>Sourcing_by_Location</vt:lpstr>
      <vt:lpstr>Sourcing_by_Location_Tables</vt:lpstr>
      <vt:lpstr>Sourcing_MSME_India</vt:lpstr>
      <vt:lpstr>Sourcing_MSME_India_Tables</vt:lpstr>
      <vt:lpstr>CSR_Aspirational_Dist</vt:lpstr>
      <vt:lpstr>CSR_Aspirational_Dist_Tables</vt:lpstr>
      <vt:lpstr>CSR_Beneficiaries</vt:lpstr>
      <vt:lpstr>CSR_Beneficiaries_Tables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Prasanth R</cp:lastModifiedBy>
  <cp:revision>0</cp:revision>
  <cp:lastPrinted>2026-07-05T11:32:06Z</cp:lastPrinted>
  <dcterms:created xsi:type="dcterms:W3CDTF">2026-07-04T14:05:22Z</dcterms:created>
  <dcterms:modified xsi:type="dcterms:W3CDTF">2026-07-05T11:40:48Z</dcterms:modified>
  <dc:language>en-US</dc:language>
</cp:coreProperties>
</file>